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hidePivotFieldList="1"/>
  <mc:AlternateContent xmlns:mc="http://schemas.openxmlformats.org/markup-compatibility/2006">
    <mc:Choice Requires="x15">
      <x15ac:absPath xmlns:x15ac="http://schemas.microsoft.com/office/spreadsheetml/2010/11/ac" url="/Users/Ryan/Documents/"/>
    </mc:Choice>
  </mc:AlternateContent>
  <xr:revisionPtr revIDLastSave="0" documentId="8_{3E344E08-142B-2447-B2AB-F364E36E7465}" xr6:coauthVersionLast="47" xr6:coauthVersionMax="47" xr10:uidLastSave="{00000000-0000-0000-0000-000000000000}"/>
  <bookViews>
    <workbookView xWindow="32020" yWindow="4200" windowWidth="19180" windowHeight="20140" xr2:uid="{00000000-000D-0000-FFFF-FFFF00000000}"/>
  </bookViews>
  <sheets>
    <sheet name="Payroll Combined" sheetId="7" r:id="rId1"/>
    <sheet name="Payroll" sheetId="1" r:id="rId2"/>
    <sheet name="Employees" sheetId="2" r:id="rId3"/>
    <sheet name="Combined" sheetId="4" r:id="rId4"/>
    <sheet name="Jan Payroll" sheetId="3" r:id="rId5"/>
    <sheet name="Payroll By Position" sheetId="5" r:id="rId6"/>
    <sheet name="Payroll By Department" sheetId="6" r:id="rId7"/>
  </sheet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7" l="1"/>
  <c r="F31" i="7"/>
  <c r="E31" i="7"/>
  <c r="D31" i="7"/>
  <c r="C31" i="7"/>
  <c r="B31" i="7"/>
  <c r="F30" i="7"/>
  <c r="E30" i="7"/>
  <c r="D30" i="7"/>
  <c r="C30" i="7"/>
  <c r="B30" i="7"/>
  <c r="F29" i="7"/>
  <c r="E29" i="7"/>
  <c r="D29" i="7"/>
  <c r="C29" i="7"/>
  <c r="B29" i="7"/>
  <c r="B33" i="3"/>
  <c r="C31" i="3"/>
  <c r="D31" i="3"/>
  <c r="E31" i="3"/>
  <c r="F31" i="3"/>
  <c r="B31" i="3"/>
  <c r="C30" i="3"/>
  <c r="D30" i="3"/>
  <c r="E30" i="3"/>
  <c r="F30" i="3"/>
  <c r="C29" i="3"/>
  <c r="D29" i="3"/>
  <c r="E29" i="3"/>
  <c r="F29" i="3"/>
  <c r="B29" i="3"/>
  <c r="B30" i="3"/>
  <c r="P3" i="1"/>
  <c r="Q3" i="1" s="1"/>
  <c r="R3" i="1" s="1"/>
  <c r="S3" i="1" s="1"/>
  <c r="K4" i="1"/>
  <c r="P4" i="1" s="1"/>
  <c r="L4" i="1"/>
  <c r="Q4" i="1" s="1"/>
  <c r="M4" i="1"/>
  <c r="R4" i="1" s="1"/>
  <c r="N4" i="1"/>
  <c r="S4" i="1" s="1"/>
  <c r="K5" i="1"/>
  <c r="P5" i="1" s="1"/>
  <c r="L5" i="1"/>
  <c r="Q5" i="1" s="1"/>
  <c r="M5" i="1"/>
  <c r="R5" i="1" s="1"/>
  <c r="N5" i="1"/>
  <c r="S5" i="1" s="1"/>
  <c r="K6" i="1"/>
  <c r="P6" i="1" s="1"/>
  <c r="L6" i="1"/>
  <c r="Q6" i="1" s="1"/>
  <c r="M6" i="1"/>
  <c r="R6" i="1" s="1"/>
  <c r="N6" i="1"/>
  <c r="S6" i="1" s="1"/>
  <c r="K7" i="1"/>
  <c r="P7" i="1" s="1"/>
  <c r="L7" i="1"/>
  <c r="Q7" i="1" s="1"/>
  <c r="M7" i="1"/>
  <c r="R7" i="1" s="1"/>
  <c r="N7" i="1"/>
  <c r="S7" i="1" s="1"/>
  <c r="K8" i="1"/>
  <c r="P8" i="1" s="1"/>
  <c r="L8" i="1"/>
  <c r="Q8" i="1" s="1"/>
  <c r="M8" i="1"/>
  <c r="R8" i="1" s="1"/>
  <c r="N8" i="1"/>
  <c r="S8" i="1" s="1"/>
  <c r="K9" i="1"/>
  <c r="P9" i="1" s="1"/>
  <c r="L9" i="1"/>
  <c r="Q9" i="1" s="1"/>
  <c r="M9" i="1"/>
  <c r="R9" i="1" s="1"/>
  <c r="N9" i="1"/>
  <c r="S9" i="1" s="1"/>
  <c r="K10" i="1"/>
  <c r="P10" i="1" s="1"/>
  <c r="L10" i="1"/>
  <c r="Q10" i="1" s="1"/>
  <c r="M10" i="1"/>
  <c r="R10" i="1" s="1"/>
  <c r="N10" i="1"/>
  <c r="S10" i="1" s="1"/>
  <c r="K11" i="1"/>
  <c r="P11" i="1" s="1"/>
  <c r="L11" i="1"/>
  <c r="Q11" i="1" s="1"/>
  <c r="M11" i="1"/>
  <c r="R11" i="1" s="1"/>
  <c r="N11" i="1"/>
  <c r="S11" i="1" s="1"/>
  <c r="K12" i="1"/>
  <c r="P12" i="1" s="1"/>
  <c r="L12" i="1"/>
  <c r="Q12" i="1" s="1"/>
  <c r="M12" i="1"/>
  <c r="R12" i="1" s="1"/>
  <c r="N12" i="1"/>
  <c r="S12" i="1" s="1"/>
  <c r="K13" i="1"/>
  <c r="P13" i="1" s="1"/>
  <c r="L13" i="1"/>
  <c r="Q13" i="1" s="1"/>
  <c r="M13" i="1"/>
  <c r="R13" i="1" s="1"/>
  <c r="N13" i="1"/>
  <c r="S13" i="1" s="1"/>
  <c r="K14" i="1"/>
  <c r="P14" i="1" s="1"/>
  <c r="L14" i="1"/>
  <c r="Q14" i="1" s="1"/>
  <c r="M14" i="1"/>
  <c r="R14" i="1" s="1"/>
  <c r="N14" i="1"/>
  <c r="S14" i="1" s="1"/>
  <c r="K15" i="1"/>
  <c r="P15" i="1" s="1"/>
  <c r="L15" i="1"/>
  <c r="Q15" i="1" s="1"/>
  <c r="M15" i="1"/>
  <c r="R15" i="1" s="1"/>
  <c r="N15" i="1"/>
  <c r="S15" i="1" s="1"/>
  <c r="K16" i="1"/>
  <c r="P16" i="1" s="1"/>
  <c r="L16" i="1"/>
  <c r="Q16" i="1" s="1"/>
  <c r="M16" i="1"/>
  <c r="R16" i="1" s="1"/>
  <c r="N16" i="1"/>
  <c r="S16" i="1" s="1"/>
  <c r="K17" i="1"/>
  <c r="P17" i="1" s="1"/>
  <c r="L17" i="1"/>
  <c r="Q17" i="1" s="1"/>
  <c r="M17" i="1"/>
  <c r="R17" i="1" s="1"/>
  <c r="N17" i="1"/>
  <c r="S17" i="1" s="1"/>
  <c r="K18" i="1"/>
  <c r="P18" i="1" s="1"/>
  <c r="L18" i="1"/>
  <c r="Q18" i="1" s="1"/>
  <c r="M18" i="1"/>
  <c r="R18" i="1" s="1"/>
  <c r="N18" i="1"/>
  <c r="S18" i="1" s="1"/>
  <c r="K19" i="1"/>
  <c r="P19" i="1" s="1"/>
  <c r="L19" i="1"/>
  <c r="Q19" i="1" s="1"/>
  <c r="M19" i="1"/>
  <c r="R19" i="1" s="1"/>
  <c r="N19" i="1"/>
  <c r="S19" i="1" s="1"/>
  <c r="K20" i="1"/>
  <c r="P20" i="1" s="1"/>
  <c r="L20" i="1"/>
  <c r="Q20" i="1" s="1"/>
  <c r="M20" i="1"/>
  <c r="R20" i="1" s="1"/>
  <c r="N20" i="1"/>
  <c r="S20" i="1" s="1"/>
  <c r="K21" i="1"/>
  <c r="P21" i="1" s="1"/>
  <c r="L21" i="1"/>
  <c r="Q21" i="1" s="1"/>
  <c r="M21" i="1"/>
  <c r="R21" i="1" s="1"/>
  <c r="N21" i="1"/>
  <c r="S21" i="1" s="1"/>
  <c r="K22" i="1"/>
  <c r="P22" i="1" s="1"/>
  <c r="L22" i="1"/>
  <c r="Q22" i="1" s="1"/>
  <c r="M22" i="1"/>
  <c r="R22" i="1" s="1"/>
  <c r="N22" i="1"/>
  <c r="S22" i="1" s="1"/>
  <c r="K23" i="1"/>
  <c r="P23" i="1" s="1"/>
  <c r="L23" i="1"/>
  <c r="Q23" i="1" s="1"/>
  <c r="M23" i="1"/>
  <c r="R23" i="1" s="1"/>
  <c r="N23" i="1"/>
  <c r="S23" i="1" s="1"/>
  <c r="K24" i="1"/>
  <c r="P24" i="1" s="1"/>
  <c r="L24" i="1"/>
  <c r="Q24" i="1" s="1"/>
  <c r="M24" i="1"/>
  <c r="R24" i="1" s="1"/>
  <c r="N24" i="1"/>
  <c r="S24" i="1" s="1"/>
  <c r="K25" i="1"/>
  <c r="P25" i="1" s="1"/>
  <c r="L25" i="1"/>
  <c r="Q25" i="1" s="1"/>
  <c r="M25" i="1"/>
  <c r="R25" i="1" s="1"/>
  <c r="N25" i="1"/>
  <c r="S25" i="1" s="1"/>
  <c r="K26" i="1"/>
  <c r="P26" i="1" s="1"/>
  <c r="L26" i="1"/>
  <c r="Q26" i="1" s="1"/>
  <c r="M26" i="1"/>
  <c r="R26" i="1" s="1"/>
  <c r="N26" i="1"/>
  <c r="S26" i="1" s="1"/>
  <c r="K27" i="1"/>
  <c r="P27" i="1" s="1"/>
  <c r="L27" i="1"/>
  <c r="Q27" i="1" s="1"/>
  <c r="M27" i="1"/>
  <c r="R27" i="1" s="1"/>
  <c r="N27" i="1"/>
  <c r="S27" i="1" s="1"/>
  <c r="K28" i="1"/>
  <c r="P28" i="1" s="1"/>
  <c r="L28" i="1"/>
  <c r="Q28" i="1" s="1"/>
  <c r="M28" i="1"/>
  <c r="R28" i="1" s="1"/>
  <c r="N28" i="1"/>
  <c r="S28" i="1" s="1"/>
  <c r="J5" i="1"/>
  <c r="O5" i="1" s="1"/>
  <c r="J6" i="1"/>
  <c r="O6" i="1" s="1"/>
  <c r="J7" i="1"/>
  <c r="O7" i="1" s="1"/>
  <c r="J8" i="1"/>
  <c r="O8" i="1" s="1"/>
  <c r="J9" i="1"/>
  <c r="O9" i="1" s="1"/>
  <c r="J10" i="1"/>
  <c r="O10" i="1" s="1"/>
  <c r="J11" i="1"/>
  <c r="O11" i="1" s="1"/>
  <c r="J12" i="1"/>
  <c r="O12" i="1" s="1"/>
  <c r="J13" i="1"/>
  <c r="O13" i="1" s="1"/>
  <c r="J14" i="1"/>
  <c r="O14" i="1" s="1"/>
  <c r="J15" i="1"/>
  <c r="O15" i="1" s="1"/>
  <c r="J16" i="1"/>
  <c r="O16" i="1" s="1"/>
  <c r="J17" i="1"/>
  <c r="O17" i="1" s="1"/>
  <c r="J18" i="1"/>
  <c r="O18" i="1" s="1"/>
  <c r="J19" i="1"/>
  <c r="O19" i="1" s="1"/>
  <c r="J20" i="1"/>
  <c r="O20" i="1" s="1"/>
  <c r="J21" i="1"/>
  <c r="O21" i="1" s="1"/>
  <c r="J22" i="1"/>
  <c r="O22" i="1" s="1"/>
  <c r="J23" i="1"/>
  <c r="O23" i="1" s="1"/>
  <c r="J24" i="1"/>
  <c r="O24" i="1" s="1"/>
  <c r="J25" i="1"/>
  <c r="O25" i="1" s="1"/>
  <c r="J26" i="1"/>
  <c r="O26" i="1" s="1"/>
  <c r="J27" i="1"/>
  <c r="O27" i="1" s="1"/>
  <c r="J28" i="1"/>
  <c r="O28" i="1" s="1"/>
  <c r="J4" i="1"/>
  <c r="O4" i="1" s="1"/>
  <c r="K3" i="1"/>
  <c r="L3" i="1" s="1"/>
  <c r="M3" i="1" s="1"/>
  <c r="N3" i="1" s="1"/>
  <c r="F3" i="1"/>
  <c r="G3" i="1"/>
  <c r="H3" i="1" s="1"/>
  <c r="I3" i="1" s="1"/>
</calcChain>
</file>

<file path=xl/sharedStrings.xml><?xml version="1.0" encoding="utf-8"?>
<sst xmlns="http://schemas.openxmlformats.org/spreadsheetml/2006/main" count="332" uniqueCount="97">
  <si>
    <t>Employee ID</t>
  </si>
  <si>
    <t>Paycheck 1/1/2025</t>
  </si>
  <si>
    <t>Paycheck 1/8/2025</t>
  </si>
  <si>
    <t>Paycheck 1/15/2025</t>
  </si>
  <si>
    <t>Paycheck 1/22/2025</t>
  </si>
  <si>
    <t>Paycheck 1/29/2025</t>
  </si>
  <si>
    <t>Payroll By Position / Department</t>
  </si>
  <si>
    <t>Payroll By Department</t>
  </si>
  <si>
    <t>Department</t>
  </si>
  <si>
    <t>Position</t>
  </si>
  <si>
    <t>Sum of Paycheck 1/1/2025</t>
  </si>
  <si>
    <t>Sum of Paycheck 1/8/2025</t>
  </si>
  <si>
    <t>Sum of Paycheck 1/15/2025</t>
  </si>
  <si>
    <t>Sum of Paycheck 1/22/2025</t>
  </si>
  <si>
    <t>Sum of Paycheck 1/29/2025</t>
  </si>
  <si>
    <t>Customer Service</t>
  </si>
  <si>
    <t>Customer Support</t>
  </si>
  <si>
    <t>Customer Support Manager</t>
  </si>
  <si>
    <t>Engineer</t>
  </si>
  <si>
    <t>Customer Service Total</t>
  </si>
  <si>
    <t>Operations</t>
  </si>
  <si>
    <t>Engineer I</t>
  </si>
  <si>
    <t>HR</t>
  </si>
  <si>
    <t>Engineer Lead</t>
  </si>
  <si>
    <t>Marketing</t>
  </si>
  <si>
    <t>Engineering Manager</t>
  </si>
  <si>
    <t>Grand Total</t>
  </si>
  <si>
    <t>Engineer Total</t>
  </si>
  <si>
    <t>Operations Manager</t>
  </si>
  <si>
    <t>Operations Total</t>
  </si>
  <si>
    <t>HR Manager</t>
  </si>
  <si>
    <t>HR Total</t>
  </si>
  <si>
    <t>Marketing Manager</t>
  </si>
  <si>
    <t>Marketing Specialist</t>
  </si>
  <si>
    <t>Marketing Total</t>
  </si>
  <si>
    <t>Average</t>
  </si>
  <si>
    <t>Max</t>
  </si>
  <si>
    <t>Min</t>
  </si>
  <si>
    <t>Total Jan Payroll</t>
  </si>
  <si>
    <t>Employee Payroll</t>
  </si>
  <si>
    <t>Employees</t>
  </si>
  <si>
    <t>Hours Worked</t>
  </si>
  <si>
    <t>Overtime Hours Worked</t>
  </si>
  <si>
    <t>Paycheck</t>
  </si>
  <si>
    <t>Last Name</t>
  </si>
  <si>
    <t>First Name</t>
  </si>
  <si>
    <t>Hourly Wage</t>
  </si>
  <si>
    <t>Smith</t>
  </si>
  <si>
    <t>Randy</t>
  </si>
  <si>
    <t>Johnson</t>
  </si>
  <si>
    <t>Sam</t>
  </si>
  <si>
    <t>Williams</t>
  </si>
  <si>
    <t>Paul</t>
  </si>
  <si>
    <t>Jones</t>
  </si>
  <si>
    <t>George</t>
  </si>
  <si>
    <t>Brown</t>
  </si>
  <si>
    <t>Wendy</t>
  </si>
  <si>
    <t>Davis</t>
  </si>
  <si>
    <t>Nancy</t>
  </si>
  <si>
    <t>Miller</t>
  </si>
  <si>
    <t>Karen</t>
  </si>
  <si>
    <t>Wilson</t>
  </si>
  <si>
    <t>Dennis</t>
  </si>
  <si>
    <t>Moore</t>
  </si>
  <si>
    <t>Sandy</t>
  </si>
  <si>
    <t>Taylor</t>
  </si>
  <si>
    <t>Linda</t>
  </si>
  <si>
    <t>Anderson</t>
  </si>
  <si>
    <t>Olivia</t>
  </si>
  <si>
    <t>Thomas</t>
  </si>
  <si>
    <t>Bill</t>
  </si>
  <si>
    <t>Jackson</t>
  </si>
  <si>
    <t>Trent</t>
  </si>
  <si>
    <t>White</t>
  </si>
  <si>
    <t>Ben</t>
  </si>
  <si>
    <t>Harris</t>
  </si>
  <si>
    <t>Lauren</t>
  </si>
  <si>
    <t>Martin</t>
  </si>
  <si>
    <t>Henry</t>
  </si>
  <si>
    <t>Thompson</t>
  </si>
  <si>
    <t>Jasper</t>
  </si>
  <si>
    <t>Garcia</t>
  </si>
  <si>
    <t>James</t>
  </si>
  <si>
    <t>Martinez</t>
  </si>
  <si>
    <t>Michael</t>
  </si>
  <si>
    <t>Robinson</t>
  </si>
  <si>
    <t>John</t>
  </si>
  <si>
    <t>Clark</t>
  </si>
  <si>
    <t>Robert</t>
  </si>
  <si>
    <t>Rodriguez</t>
  </si>
  <si>
    <t>David</t>
  </si>
  <si>
    <t>Lewis</t>
  </si>
  <si>
    <t>William</t>
  </si>
  <si>
    <t>Lee</t>
  </si>
  <si>
    <t>Richard</t>
  </si>
  <si>
    <t>Walker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</si>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</sst>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F2D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164" fontId="0" fillId="2" borderId="2" xfId="0" applyNumberFormat="1" applyFill="1" applyBorder="1"/>
    <xf numFmtId="0" fontId="0" fillId="3" borderId="1" xfId="0" applyFill="1" applyBorder="1"/>
    <xf numFmtId="14" fontId="1" fillId="3" borderId="1" xfId="0" applyNumberFormat="1" applyFont="1" applyFill="1" applyBorder="1"/>
    <xf numFmtId="14" fontId="1" fillId="3" borderId="2" xfId="0" applyNumberFormat="1" applyFont="1" applyFill="1" applyBorder="1"/>
    <xf numFmtId="0" fontId="0" fillId="3" borderId="2" xfId="0" applyFill="1" applyBorder="1"/>
    <xf numFmtId="14" fontId="1" fillId="4" borderId="1" xfId="0" applyNumberFormat="1" applyFont="1" applyFill="1" applyBorder="1"/>
    <xf numFmtId="0" fontId="0" fillId="4" borderId="1" xfId="0" applyFill="1" applyBorder="1"/>
    <xf numFmtId="14" fontId="1" fillId="4" borderId="2" xfId="0" applyNumberFormat="1" applyFont="1" applyFill="1" applyBorder="1"/>
    <xf numFmtId="0" fontId="0" fillId="4" borderId="2" xfId="0" applyFill="1" applyBorder="1"/>
    <xf numFmtId="14" fontId="1" fillId="5" borderId="1" xfId="0" applyNumberFormat="1" applyFont="1" applyFill="1" applyBorder="1"/>
    <xf numFmtId="164" fontId="0" fillId="5" borderId="1" xfId="0" applyNumberFormat="1" applyFill="1" applyBorder="1"/>
    <xf numFmtId="0" fontId="1" fillId="0" borderId="3" xfId="0" applyFont="1" applyBorder="1" applyAlignment="1">
      <alignment horizontal="center"/>
    </xf>
    <xf numFmtId="0" fontId="0" fillId="0" borderId="0" xfId="0" pivotButton="1"/>
    <xf numFmtId="0" fontId="1" fillId="6" borderId="1" xfId="0" applyFont="1" applyFill="1" applyBorder="1"/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1F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 Project.xlsx]Payroll By Position!PivotTable2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By Position</a:t>
            </a:r>
          </a:p>
        </c:rich>
      </c:tx>
      <c:layout>
        <c:manualLayout>
          <c:xMode val="edge"/>
          <c:yMode val="edge"/>
          <c:x val="0.44658413382377754"/>
          <c:y val="1.754369534598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By Position'!$C$2</c:f>
              <c:strCache>
                <c:ptCount val="1"/>
                <c:pt idx="0">
                  <c:v>Sum of Paycheck 1/1/2025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'Payroll By Position'!$A$3:$B$19</c:f>
              <c:multiLvlStrCache>
                <c:ptCount val="11"/>
                <c:lvl>
                  <c:pt idx="0">
                    <c:v>Customer Support</c:v>
                  </c:pt>
                  <c:pt idx="1">
                    <c:v>Customer Support Manager</c:v>
                  </c:pt>
                  <c:pt idx="2">
                    <c:v>Engineer I</c:v>
                  </c:pt>
                  <c:pt idx="3">
                    <c:v>Engineer Lead</c:v>
                  </c:pt>
                  <c:pt idx="4">
                    <c:v>Engineering Manager</c:v>
                  </c:pt>
                  <c:pt idx="5">
                    <c:v>Operations</c:v>
                  </c:pt>
                  <c:pt idx="6">
                    <c:v>Operations Manager</c:v>
                  </c:pt>
                  <c:pt idx="7">
                    <c:v>HR</c:v>
                  </c:pt>
                  <c:pt idx="8">
                    <c:v>HR Manager</c:v>
                  </c:pt>
                  <c:pt idx="9">
                    <c:v>Marketing Manager</c:v>
                  </c:pt>
                  <c:pt idx="10">
                    <c:v>Marketing Specialist</c:v>
                  </c:pt>
                </c:lvl>
                <c:lvl>
                  <c:pt idx="0">
                    <c:v>Customer Service</c:v>
                  </c:pt>
                  <c:pt idx="2">
                    <c:v>Engineer</c:v>
                  </c:pt>
                  <c:pt idx="5">
                    <c:v>Operations</c:v>
                  </c:pt>
                  <c:pt idx="7">
                    <c:v>HR</c:v>
                  </c:pt>
                  <c:pt idx="9">
                    <c:v>Marketing</c:v>
                  </c:pt>
                </c:lvl>
              </c:multiLvlStrCache>
            </c:multiLvlStrRef>
          </c:cat>
          <c:val>
            <c:numRef>
              <c:f>'Payroll By Position'!$C$3:$C$19</c:f>
              <c:numCache>
                <c:formatCode>"$"#,##0.00</c:formatCode>
                <c:ptCount val="11"/>
                <c:pt idx="0">
                  <c:v>5945.0900000000011</c:v>
                </c:pt>
                <c:pt idx="1">
                  <c:v>1280</c:v>
                </c:pt>
                <c:pt idx="2">
                  <c:v>3529.375</c:v>
                </c:pt>
                <c:pt idx="3">
                  <c:v>1660</c:v>
                </c:pt>
                <c:pt idx="4">
                  <c:v>2020.8</c:v>
                </c:pt>
                <c:pt idx="5">
                  <c:v>2826.25</c:v>
                </c:pt>
                <c:pt idx="6">
                  <c:v>2103.75</c:v>
                </c:pt>
                <c:pt idx="7">
                  <c:v>2765.75</c:v>
                </c:pt>
                <c:pt idx="8">
                  <c:v>1470</c:v>
                </c:pt>
                <c:pt idx="9">
                  <c:v>1220</c:v>
                </c:pt>
                <c:pt idx="10">
                  <c:v>1558.45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5-4FA9-A5C8-ED9F9732A41E}"/>
            </c:ext>
          </c:extLst>
        </c:ser>
        <c:ser>
          <c:idx val="1"/>
          <c:order val="1"/>
          <c:tx>
            <c:strRef>
              <c:f>'Payroll By Position'!$D$2</c:f>
              <c:strCache>
                <c:ptCount val="1"/>
                <c:pt idx="0">
                  <c:v>Sum of Paycheck 1/8/2025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'Payroll By Position'!$A$3:$B$19</c:f>
              <c:multiLvlStrCache>
                <c:ptCount val="11"/>
                <c:lvl>
                  <c:pt idx="0">
                    <c:v>Customer Support</c:v>
                  </c:pt>
                  <c:pt idx="1">
                    <c:v>Customer Support Manager</c:v>
                  </c:pt>
                  <c:pt idx="2">
                    <c:v>Engineer I</c:v>
                  </c:pt>
                  <c:pt idx="3">
                    <c:v>Engineer Lead</c:v>
                  </c:pt>
                  <c:pt idx="4">
                    <c:v>Engineering Manager</c:v>
                  </c:pt>
                  <c:pt idx="5">
                    <c:v>Operations</c:v>
                  </c:pt>
                  <c:pt idx="6">
                    <c:v>Operations Manager</c:v>
                  </c:pt>
                  <c:pt idx="7">
                    <c:v>HR</c:v>
                  </c:pt>
                  <c:pt idx="8">
                    <c:v>HR Manager</c:v>
                  </c:pt>
                  <c:pt idx="9">
                    <c:v>Marketing Manager</c:v>
                  </c:pt>
                  <c:pt idx="10">
                    <c:v>Marketing Specialist</c:v>
                  </c:pt>
                </c:lvl>
                <c:lvl>
                  <c:pt idx="0">
                    <c:v>Customer Service</c:v>
                  </c:pt>
                  <c:pt idx="2">
                    <c:v>Engineer</c:v>
                  </c:pt>
                  <c:pt idx="5">
                    <c:v>Operations</c:v>
                  </c:pt>
                  <c:pt idx="7">
                    <c:v>HR</c:v>
                  </c:pt>
                  <c:pt idx="9">
                    <c:v>Marketing</c:v>
                  </c:pt>
                </c:lvl>
              </c:multiLvlStrCache>
            </c:multiLvlStrRef>
          </c:cat>
          <c:val>
            <c:numRef>
              <c:f>'Payroll By Position'!$D$3:$D$19</c:f>
              <c:numCache>
                <c:formatCode>"$"#,##0.00</c:formatCode>
                <c:ptCount val="11"/>
                <c:pt idx="0">
                  <c:v>5429.7849999999999</c:v>
                </c:pt>
                <c:pt idx="1">
                  <c:v>1328</c:v>
                </c:pt>
                <c:pt idx="2">
                  <c:v>3137.36</c:v>
                </c:pt>
                <c:pt idx="3">
                  <c:v>1600</c:v>
                </c:pt>
                <c:pt idx="4">
                  <c:v>2172.36</c:v>
                </c:pt>
                <c:pt idx="5">
                  <c:v>2380</c:v>
                </c:pt>
                <c:pt idx="6">
                  <c:v>1940</c:v>
                </c:pt>
                <c:pt idx="7">
                  <c:v>2762</c:v>
                </c:pt>
                <c:pt idx="8">
                  <c:v>1596</c:v>
                </c:pt>
                <c:pt idx="9">
                  <c:v>1265.75</c:v>
                </c:pt>
                <c:pt idx="10">
                  <c:v>1558.45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5-4FA9-A5C8-ED9F9732A41E}"/>
            </c:ext>
          </c:extLst>
        </c:ser>
        <c:ser>
          <c:idx val="2"/>
          <c:order val="2"/>
          <c:tx>
            <c:strRef>
              <c:f>'Payroll By Position'!$E$2</c:f>
              <c:strCache>
                <c:ptCount val="1"/>
                <c:pt idx="0">
                  <c:v>Sum of Paycheck 1/15/2025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'Payroll By Position'!$A$3:$B$19</c:f>
              <c:multiLvlStrCache>
                <c:ptCount val="11"/>
                <c:lvl>
                  <c:pt idx="0">
                    <c:v>Customer Support</c:v>
                  </c:pt>
                  <c:pt idx="1">
                    <c:v>Customer Support Manager</c:v>
                  </c:pt>
                  <c:pt idx="2">
                    <c:v>Engineer I</c:v>
                  </c:pt>
                  <c:pt idx="3">
                    <c:v>Engineer Lead</c:v>
                  </c:pt>
                  <c:pt idx="4">
                    <c:v>Engineering Manager</c:v>
                  </c:pt>
                  <c:pt idx="5">
                    <c:v>Operations</c:v>
                  </c:pt>
                  <c:pt idx="6">
                    <c:v>Operations Manager</c:v>
                  </c:pt>
                  <c:pt idx="7">
                    <c:v>HR</c:v>
                  </c:pt>
                  <c:pt idx="8">
                    <c:v>HR Manager</c:v>
                  </c:pt>
                  <c:pt idx="9">
                    <c:v>Marketing Manager</c:v>
                  </c:pt>
                  <c:pt idx="10">
                    <c:v>Marketing Specialist</c:v>
                  </c:pt>
                </c:lvl>
                <c:lvl>
                  <c:pt idx="0">
                    <c:v>Customer Service</c:v>
                  </c:pt>
                  <c:pt idx="2">
                    <c:v>Engineer</c:v>
                  </c:pt>
                  <c:pt idx="5">
                    <c:v>Operations</c:v>
                  </c:pt>
                  <c:pt idx="7">
                    <c:v>HR</c:v>
                  </c:pt>
                  <c:pt idx="9">
                    <c:v>Marketing</c:v>
                  </c:pt>
                </c:lvl>
              </c:multiLvlStrCache>
            </c:multiLvlStrRef>
          </c:cat>
          <c:val>
            <c:numRef>
              <c:f>'Payroll By Position'!$E$3:$E$19</c:f>
              <c:numCache>
                <c:formatCode>"$"#,##0.00</c:formatCode>
                <c:ptCount val="11"/>
                <c:pt idx="0">
                  <c:v>5815.3449999999993</c:v>
                </c:pt>
                <c:pt idx="1">
                  <c:v>1472</c:v>
                </c:pt>
                <c:pt idx="2">
                  <c:v>3505.3249999999998</c:v>
                </c:pt>
                <c:pt idx="3">
                  <c:v>1600</c:v>
                </c:pt>
                <c:pt idx="4">
                  <c:v>2096.58</c:v>
                </c:pt>
                <c:pt idx="5">
                  <c:v>2647.75</c:v>
                </c:pt>
                <c:pt idx="6">
                  <c:v>2057.75</c:v>
                </c:pt>
                <c:pt idx="7">
                  <c:v>2729</c:v>
                </c:pt>
                <c:pt idx="8">
                  <c:v>1470</c:v>
                </c:pt>
                <c:pt idx="9">
                  <c:v>1220</c:v>
                </c:pt>
                <c:pt idx="10">
                  <c:v>1604.95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65-4FA9-A5C8-ED9F9732A41E}"/>
            </c:ext>
          </c:extLst>
        </c:ser>
        <c:ser>
          <c:idx val="3"/>
          <c:order val="3"/>
          <c:tx>
            <c:strRef>
              <c:f>'Payroll By Position'!$F$2</c:f>
              <c:strCache>
                <c:ptCount val="1"/>
                <c:pt idx="0">
                  <c:v>Sum of Paycheck 1/22/2025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'Payroll By Position'!$A$3:$B$19</c:f>
              <c:multiLvlStrCache>
                <c:ptCount val="11"/>
                <c:lvl>
                  <c:pt idx="0">
                    <c:v>Customer Support</c:v>
                  </c:pt>
                  <c:pt idx="1">
                    <c:v>Customer Support Manager</c:v>
                  </c:pt>
                  <c:pt idx="2">
                    <c:v>Engineer I</c:v>
                  </c:pt>
                  <c:pt idx="3">
                    <c:v>Engineer Lead</c:v>
                  </c:pt>
                  <c:pt idx="4">
                    <c:v>Engineering Manager</c:v>
                  </c:pt>
                  <c:pt idx="5">
                    <c:v>Operations</c:v>
                  </c:pt>
                  <c:pt idx="6">
                    <c:v>Operations Manager</c:v>
                  </c:pt>
                  <c:pt idx="7">
                    <c:v>HR</c:v>
                  </c:pt>
                  <c:pt idx="8">
                    <c:v>HR Manager</c:v>
                  </c:pt>
                  <c:pt idx="9">
                    <c:v>Marketing Manager</c:v>
                  </c:pt>
                  <c:pt idx="10">
                    <c:v>Marketing Specialist</c:v>
                  </c:pt>
                </c:lvl>
                <c:lvl>
                  <c:pt idx="0">
                    <c:v>Customer Service</c:v>
                  </c:pt>
                  <c:pt idx="2">
                    <c:v>Engineer</c:v>
                  </c:pt>
                  <c:pt idx="5">
                    <c:v>Operations</c:v>
                  </c:pt>
                  <c:pt idx="7">
                    <c:v>HR</c:v>
                  </c:pt>
                  <c:pt idx="9">
                    <c:v>Marketing</c:v>
                  </c:pt>
                </c:lvl>
              </c:multiLvlStrCache>
            </c:multiLvlStrRef>
          </c:cat>
          <c:val>
            <c:numRef>
              <c:f>'Payroll By Position'!$F$3:$F$19</c:f>
              <c:numCache>
                <c:formatCode>"$"#,##0.00</c:formatCode>
                <c:ptCount val="11"/>
                <c:pt idx="0">
                  <c:v>5540.2150000000001</c:v>
                </c:pt>
                <c:pt idx="1">
                  <c:v>1280</c:v>
                </c:pt>
                <c:pt idx="2">
                  <c:v>3313.79</c:v>
                </c:pt>
                <c:pt idx="3">
                  <c:v>1660</c:v>
                </c:pt>
                <c:pt idx="4">
                  <c:v>2172.36</c:v>
                </c:pt>
                <c:pt idx="5">
                  <c:v>2380</c:v>
                </c:pt>
                <c:pt idx="6">
                  <c:v>2025.5</c:v>
                </c:pt>
                <c:pt idx="7">
                  <c:v>2898.2</c:v>
                </c:pt>
                <c:pt idx="8">
                  <c:v>1512</c:v>
                </c:pt>
                <c:pt idx="9">
                  <c:v>1448.75</c:v>
                </c:pt>
                <c:pt idx="10">
                  <c:v>1651.45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65-4FA9-A5C8-ED9F9732A41E}"/>
            </c:ext>
          </c:extLst>
        </c:ser>
        <c:ser>
          <c:idx val="4"/>
          <c:order val="4"/>
          <c:tx>
            <c:strRef>
              <c:f>'Payroll By Position'!$G$2</c:f>
              <c:strCache>
                <c:ptCount val="1"/>
                <c:pt idx="0">
                  <c:v>Sum of Paycheck 1/29/2025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'Payroll By Position'!$A$3:$B$19</c:f>
              <c:multiLvlStrCache>
                <c:ptCount val="11"/>
                <c:lvl>
                  <c:pt idx="0">
                    <c:v>Customer Support</c:v>
                  </c:pt>
                  <c:pt idx="1">
                    <c:v>Customer Support Manager</c:v>
                  </c:pt>
                  <c:pt idx="2">
                    <c:v>Engineer I</c:v>
                  </c:pt>
                  <c:pt idx="3">
                    <c:v>Engineer Lead</c:v>
                  </c:pt>
                  <c:pt idx="4">
                    <c:v>Engineering Manager</c:v>
                  </c:pt>
                  <c:pt idx="5">
                    <c:v>Operations</c:v>
                  </c:pt>
                  <c:pt idx="6">
                    <c:v>Operations Manager</c:v>
                  </c:pt>
                  <c:pt idx="7">
                    <c:v>HR</c:v>
                  </c:pt>
                  <c:pt idx="8">
                    <c:v>HR Manager</c:v>
                  </c:pt>
                  <c:pt idx="9">
                    <c:v>Marketing Manager</c:v>
                  </c:pt>
                  <c:pt idx="10">
                    <c:v>Marketing Specialist</c:v>
                  </c:pt>
                </c:lvl>
                <c:lvl>
                  <c:pt idx="0">
                    <c:v>Customer Service</c:v>
                  </c:pt>
                  <c:pt idx="2">
                    <c:v>Engineer</c:v>
                  </c:pt>
                  <c:pt idx="5">
                    <c:v>Operations</c:v>
                  </c:pt>
                  <c:pt idx="7">
                    <c:v>HR</c:v>
                  </c:pt>
                  <c:pt idx="9">
                    <c:v>Marketing</c:v>
                  </c:pt>
                </c:lvl>
              </c:multiLvlStrCache>
            </c:multiLvlStrRef>
          </c:cat>
          <c:val>
            <c:numRef>
              <c:f>'Payroll By Position'!$G$3:$G$19</c:f>
              <c:numCache>
                <c:formatCode>"$"#,##0.00</c:formatCode>
                <c:ptCount val="11"/>
                <c:pt idx="0">
                  <c:v>5523.7900000000009</c:v>
                </c:pt>
                <c:pt idx="1">
                  <c:v>1376</c:v>
                </c:pt>
                <c:pt idx="2">
                  <c:v>3213.4300000000003</c:v>
                </c:pt>
                <c:pt idx="3">
                  <c:v>1840</c:v>
                </c:pt>
                <c:pt idx="4">
                  <c:v>2020.8</c:v>
                </c:pt>
                <c:pt idx="5">
                  <c:v>2380</c:v>
                </c:pt>
                <c:pt idx="6">
                  <c:v>1965</c:v>
                </c:pt>
                <c:pt idx="7">
                  <c:v>2898.65</c:v>
                </c:pt>
                <c:pt idx="8">
                  <c:v>1386</c:v>
                </c:pt>
                <c:pt idx="9">
                  <c:v>1311.5</c:v>
                </c:pt>
                <c:pt idx="10">
                  <c:v>1674.7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65-4FA9-A5C8-ED9F9732A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172359"/>
        <c:axId val="2035174407"/>
      </c:barChart>
      <c:catAx>
        <c:axId val="2035172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74407"/>
        <c:crosses val="autoZero"/>
        <c:auto val="1"/>
        <c:lblAlgn val="ctr"/>
        <c:lblOffset val="100"/>
        <c:noMultiLvlLbl val="0"/>
      </c:catAx>
      <c:valAx>
        <c:axId val="2035174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172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[Payroll Project.xlsx]Payroll By Department!PivotTable2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Payroll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13A10E"/>
            </a:solidFill>
            <a:ln w="9525">
              <a:solidFill>
                <a:srgbClr val="13A10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'Payroll By Department'!$B$2</c:f>
              <c:strCache>
                <c:ptCount val="1"/>
                <c:pt idx="0">
                  <c:v>Sum of Paycheck 1/1/2025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'Payroll By Department'!$A$3:$A$8</c:f>
              <c:strCache>
                <c:ptCount val="5"/>
                <c:pt idx="0">
                  <c:v>Customer Service</c:v>
                </c:pt>
                <c:pt idx="1">
                  <c:v>Engineer</c:v>
                </c:pt>
                <c:pt idx="2">
                  <c:v>Operations</c:v>
                </c:pt>
                <c:pt idx="3">
                  <c:v>HR</c:v>
                </c:pt>
                <c:pt idx="4">
                  <c:v>Marketing</c:v>
                </c:pt>
              </c:strCache>
            </c:strRef>
          </c:cat>
          <c:val>
            <c:numRef>
              <c:f>'Payroll By Department'!$B$3:$B$8</c:f>
              <c:numCache>
                <c:formatCode>"$"#,##0.00</c:formatCode>
                <c:ptCount val="5"/>
                <c:pt idx="0">
                  <c:v>7225.0900000000011</c:v>
                </c:pt>
                <c:pt idx="1">
                  <c:v>7210.1749999999993</c:v>
                </c:pt>
                <c:pt idx="2">
                  <c:v>4930</c:v>
                </c:pt>
                <c:pt idx="3">
                  <c:v>4235.75</c:v>
                </c:pt>
                <c:pt idx="4">
                  <c:v>2778.45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2-48C7-B78B-8A84FA83632B}"/>
            </c:ext>
          </c:extLst>
        </c:ser>
        <c:ser>
          <c:idx val="1"/>
          <c:order val="1"/>
          <c:tx>
            <c:strRef>
              <c:f>'Payroll By Department'!$C$2</c:f>
              <c:strCache>
                <c:ptCount val="1"/>
                <c:pt idx="0">
                  <c:v>Sum of Paycheck 1/8/2025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'Payroll By Department'!$A$3:$A$8</c:f>
              <c:strCache>
                <c:ptCount val="5"/>
                <c:pt idx="0">
                  <c:v>Customer Service</c:v>
                </c:pt>
                <c:pt idx="1">
                  <c:v>Engineer</c:v>
                </c:pt>
                <c:pt idx="2">
                  <c:v>Operations</c:v>
                </c:pt>
                <c:pt idx="3">
                  <c:v>HR</c:v>
                </c:pt>
                <c:pt idx="4">
                  <c:v>Marketing</c:v>
                </c:pt>
              </c:strCache>
            </c:strRef>
          </c:cat>
          <c:val>
            <c:numRef>
              <c:f>'Payroll By Department'!$C$3:$C$8</c:f>
              <c:numCache>
                <c:formatCode>"$"#,##0.00</c:formatCode>
                <c:ptCount val="5"/>
                <c:pt idx="0">
                  <c:v>6757.7849999999999</c:v>
                </c:pt>
                <c:pt idx="1">
                  <c:v>6909.72</c:v>
                </c:pt>
                <c:pt idx="2">
                  <c:v>4320</c:v>
                </c:pt>
                <c:pt idx="3">
                  <c:v>4358</c:v>
                </c:pt>
                <c:pt idx="4">
                  <c:v>2824.2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C2-48C7-B78B-8A84FA83632B}"/>
            </c:ext>
          </c:extLst>
        </c:ser>
        <c:ser>
          <c:idx val="2"/>
          <c:order val="2"/>
          <c:tx>
            <c:strRef>
              <c:f>'Payroll By Department'!$D$2</c:f>
              <c:strCache>
                <c:ptCount val="1"/>
                <c:pt idx="0">
                  <c:v>Sum of Paycheck 1/15/2025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'Payroll By Department'!$A$3:$A$8</c:f>
              <c:strCache>
                <c:ptCount val="5"/>
                <c:pt idx="0">
                  <c:v>Customer Service</c:v>
                </c:pt>
                <c:pt idx="1">
                  <c:v>Engineer</c:v>
                </c:pt>
                <c:pt idx="2">
                  <c:v>Operations</c:v>
                </c:pt>
                <c:pt idx="3">
                  <c:v>HR</c:v>
                </c:pt>
                <c:pt idx="4">
                  <c:v>Marketing</c:v>
                </c:pt>
              </c:strCache>
            </c:strRef>
          </c:cat>
          <c:val>
            <c:numRef>
              <c:f>'Payroll By Department'!$D$3:$D$8</c:f>
              <c:numCache>
                <c:formatCode>"$"#,##0.00</c:formatCode>
                <c:ptCount val="5"/>
                <c:pt idx="0">
                  <c:v>7287.3449999999993</c:v>
                </c:pt>
                <c:pt idx="1">
                  <c:v>7201.9050000000007</c:v>
                </c:pt>
                <c:pt idx="2">
                  <c:v>4705.5</c:v>
                </c:pt>
                <c:pt idx="3">
                  <c:v>4199</c:v>
                </c:pt>
                <c:pt idx="4">
                  <c:v>2824.95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C2-48C7-B78B-8A84FA83632B}"/>
            </c:ext>
          </c:extLst>
        </c:ser>
        <c:ser>
          <c:idx val="3"/>
          <c:order val="3"/>
          <c:tx>
            <c:strRef>
              <c:f>'Payroll By Department'!$E$2</c:f>
              <c:strCache>
                <c:ptCount val="1"/>
                <c:pt idx="0">
                  <c:v>Sum of Paycheck 1/22/2025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'Payroll By Department'!$A$3:$A$8</c:f>
              <c:strCache>
                <c:ptCount val="5"/>
                <c:pt idx="0">
                  <c:v>Customer Service</c:v>
                </c:pt>
                <c:pt idx="1">
                  <c:v>Engineer</c:v>
                </c:pt>
                <c:pt idx="2">
                  <c:v>Operations</c:v>
                </c:pt>
                <c:pt idx="3">
                  <c:v>HR</c:v>
                </c:pt>
                <c:pt idx="4">
                  <c:v>Marketing</c:v>
                </c:pt>
              </c:strCache>
            </c:strRef>
          </c:cat>
          <c:val>
            <c:numRef>
              <c:f>'Payroll By Department'!$E$3:$E$8</c:f>
              <c:numCache>
                <c:formatCode>"$"#,##0.00</c:formatCode>
                <c:ptCount val="5"/>
                <c:pt idx="0">
                  <c:v>6820.2150000000001</c:v>
                </c:pt>
                <c:pt idx="1">
                  <c:v>7146.15</c:v>
                </c:pt>
                <c:pt idx="2">
                  <c:v>4405.5</c:v>
                </c:pt>
                <c:pt idx="3">
                  <c:v>4410.2</c:v>
                </c:pt>
                <c:pt idx="4">
                  <c:v>3100.2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C2-48C7-B78B-8A84FA83632B}"/>
            </c:ext>
          </c:extLst>
        </c:ser>
        <c:ser>
          <c:idx val="4"/>
          <c:order val="4"/>
          <c:tx>
            <c:strRef>
              <c:f>'Payroll By Department'!$F$2</c:f>
              <c:strCache>
                <c:ptCount val="1"/>
                <c:pt idx="0">
                  <c:v>Sum of Paycheck 1/29/2025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'Payroll By Department'!$A$3:$A$8</c:f>
              <c:strCache>
                <c:ptCount val="5"/>
                <c:pt idx="0">
                  <c:v>Customer Service</c:v>
                </c:pt>
                <c:pt idx="1">
                  <c:v>Engineer</c:v>
                </c:pt>
                <c:pt idx="2">
                  <c:v>Operations</c:v>
                </c:pt>
                <c:pt idx="3">
                  <c:v>HR</c:v>
                </c:pt>
                <c:pt idx="4">
                  <c:v>Marketing</c:v>
                </c:pt>
              </c:strCache>
            </c:strRef>
          </c:cat>
          <c:val>
            <c:numRef>
              <c:f>'Payroll By Department'!$F$3:$F$8</c:f>
              <c:numCache>
                <c:formatCode>"$"#,##0.00</c:formatCode>
                <c:ptCount val="5"/>
                <c:pt idx="0">
                  <c:v>6899.7900000000009</c:v>
                </c:pt>
                <c:pt idx="1">
                  <c:v>7074.23</c:v>
                </c:pt>
                <c:pt idx="2">
                  <c:v>4345</c:v>
                </c:pt>
                <c:pt idx="3">
                  <c:v>4284.6499999999996</c:v>
                </c:pt>
                <c:pt idx="4">
                  <c:v>2986.2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C2-48C7-B78B-8A84FA83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164615"/>
        <c:axId val="1820166663"/>
      </c:barChart>
      <c:catAx>
        <c:axId val="1820164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66663"/>
        <c:crosses val="autoZero"/>
        <c:auto val="1"/>
        <c:lblAlgn val="ctr"/>
        <c:lblOffset val="100"/>
        <c:noMultiLvlLbl val="0"/>
      </c:catAx>
      <c:valAx>
        <c:axId val="1820166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64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20</xdr:row>
      <xdr:rowOff>76200</xdr:rowOff>
    </xdr:from>
    <xdr:to>
      <xdr:col>15</xdr:col>
      <xdr:colOff>1647825</xdr:colOff>
      <xdr:row>56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5C91F-6031-408A-8D52-A6DE54DF2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10</xdr:row>
      <xdr:rowOff>0</xdr:rowOff>
    </xdr:from>
    <xdr:to>
      <xdr:col>24</xdr:col>
      <xdr:colOff>1685925</xdr:colOff>
      <xdr:row>41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5F2B81-F500-46DC-98BF-810BE0152CC7}"/>
            </a:ext>
            <a:ext uri="{147F2762-F138-4A5C-976F-8EAC2B608ADB}">
              <a16:predDERef xmlns:a16="http://schemas.microsoft.com/office/drawing/2014/main" pred="{1315C91F-6031-408A-8D52-A6DE54DF2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muc365-my.sharepoint.com/personal/rmoore190_student_umgc_edu/Documents/Payroll%20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672267824077" createdVersion="8" refreshedVersion="8" minRefreshableVersion="3" recordCount="25" xr:uid="{E59D0A12-DD64-4141-8322-E9657C12AA66}">
  <cacheSource type="worksheet">
    <worksheetSource ref="C6:U31" sheet="Sheet2" r:id="rId2"/>
  </cacheSource>
  <cacheFields count="19">
    <cacheField name="Employee ID" numFmtId="0">
      <sharedItems containsSemiMixedTypes="0" containsString="0" containsNumber="1" containsInteger="1" minValue="10001" maxValue="10025" count="25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</sharedItems>
    </cacheField>
    <cacheField name="Last Name" numFmtId="0">
      <sharedItems/>
    </cacheField>
    <cacheField name="First Name" numFmtId="0">
      <sharedItems/>
    </cacheField>
    <cacheField name="Hourly Wage" numFmtId="164">
      <sharedItems containsSemiMixedTypes="0" containsString="0" containsNumber="1" minValue="15.67" maxValue="50.52"/>
    </cacheField>
    <cacheField name="1/1/2025" numFmtId="0">
      <sharedItems containsSemiMixedTypes="0" containsString="0" containsNumber="1" containsInteger="1" minValue="21" maxValue="50"/>
    </cacheField>
    <cacheField name="1/8/2025" numFmtId="0">
      <sharedItems containsSemiMixedTypes="0" containsString="0" containsNumber="1" containsInteger="1" minValue="25" maxValue="42"/>
    </cacheField>
    <cacheField name="1/15/2025" numFmtId="0">
      <sharedItems containsSemiMixedTypes="0" containsString="0" containsNumber="1" containsInteger="1" minValue="24" maxValue="49"/>
    </cacheField>
    <cacheField name="1/22/2025" numFmtId="0">
      <sharedItems containsSemiMixedTypes="0" containsString="0" containsNumber="1" containsInteger="1" minValue="20" maxValue="45"/>
    </cacheField>
    <cacheField name="1/29/2025" numFmtId="0">
      <sharedItems containsSemiMixedTypes="0" containsString="0" containsNumber="1" containsInteger="1" minValue="21" maxValue="44"/>
    </cacheField>
    <cacheField name="1/1/20252" numFmtId="0">
      <sharedItems containsSemiMixedTypes="0" containsString="0" containsNumber="1" containsInteger="1" minValue="0" maxValue="10"/>
    </cacheField>
    <cacheField name="1/8/20252" numFmtId="0">
      <sharedItems containsSemiMixedTypes="0" containsString="0" containsNumber="1" containsInteger="1" minValue="0" maxValue="2"/>
    </cacheField>
    <cacheField name="1/15/20252" numFmtId="0">
      <sharedItems containsSemiMixedTypes="0" containsString="0" containsNumber="1" containsInteger="1" minValue="0" maxValue="9"/>
    </cacheField>
    <cacheField name="1/22/20252" numFmtId="0">
      <sharedItems containsSemiMixedTypes="0" containsString="0" containsNumber="1" containsInteger="1" minValue="0" maxValue="5"/>
    </cacheField>
    <cacheField name="1/29/20252" numFmtId="0">
      <sharedItems containsSemiMixedTypes="0" containsString="0" containsNumber="1" containsInteger="1" minValue="0" maxValue="4"/>
    </cacheField>
    <cacheField name="1/1/20253" numFmtId="164">
      <sharedItems containsSemiMixedTypes="0" containsString="0" containsNumber="1" minValue="329.07" maxValue="2020.8"/>
    </cacheField>
    <cacheField name="1/8/20253" numFmtId="164">
      <sharedItems containsSemiMixedTypes="0" containsString="0" containsNumber="1" minValue="391.75" maxValue="2172.36"/>
    </cacheField>
    <cacheField name="1/15/20253" numFmtId="164">
      <sharedItems containsSemiMixedTypes="0" containsString="0" containsNumber="1" minValue="376.08" maxValue="2096.58"/>
    </cacheField>
    <cacheField name="1/22/20253" numFmtId="164">
      <sharedItems containsSemiMixedTypes="0" containsString="0" containsNumber="1" minValue="313.39999999999998" maxValue="2172.36"/>
    </cacheField>
    <cacheField name="1/29/20253" numFmtId="164">
      <sharedItems containsSemiMixedTypes="0" containsString="0" containsNumber="1" minValue="329.07" maxValue="202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678195601853" createdVersion="8" refreshedVersion="8" minRefreshableVersion="3" recordCount="25" xr:uid="{18AEE989-EA8B-4F94-B044-36BDE3EA5D4A}">
  <cacheSource type="worksheet">
    <worksheetSource ref="A1:H26" sheet="Combined"/>
  </cacheSource>
  <cacheFields count="8">
    <cacheField name="Employee ID" numFmtId="0">
      <sharedItems containsSemiMixedTypes="0" containsString="0" containsNumber="1" containsInteger="1" minValue="10001" maxValue="10025"/>
    </cacheField>
    <cacheField name="Department" numFmtId="0">
      <sharedItems count="5">
        <s v="Marketing"/>
        <s v="HR"/>
        <s v="Customer Service"/>
        <s v="Engineer"/>
        <s v="Operations"/>
      </sharedItems>
    </cacheField>
    <cacheField name="Position" numFmtId="0">
      <sharedItems count="11">
        <s v="Marketing Manager"/>
        <s v="HR"/>
        <s v="Customer Support"/>
        <s v="Engineer Lead"/>
        <s v="Engineer I"/>
        <s v="Operations Manager"/>
        <s v="HR Manager"/>
        <s v="Operations"/>
        <s v="Customer Support Manager"/>
        <s v="Marketing Specialist"/>
        <s v="Engineering Manager"/>
      </sharedItems>
    </cacheField>
    <cacheField name="Paycheck 1/1/2025" numFmtId="164">
      <sharedItems containsSemiMixedTypes="0" containsString="0" containsNumber="1" minValue="329.07" maxValue="2020.8"/>
    </cacheField>
    <cacheField name="Paycheck 1/8/2025" numFmtId="164">
      <sharedItems containsSemiMixedTypes="0" containsString="0" containsNumber="1" minValue="391.75" maxValue="2172.36"/>
    </cacheField>
    <cacheField name="Paycheck 1/15/2025" numFmtId="164">
      <sharedItems containsSemiMixedTypes="0" containsString="0" containsNumber="1" minValue="376.08" maxValue="2096.58"/>
    </cacheField>
    <cacheField name="Paycheck 1/22/2025" numFmtId="164">
      <sharedItems containsSemiMixedTypes="0" containsString="0" containsNumber="1" minValue="313.39999999999998" maxValue="2172.36"/>
    </cacheField>
    <cacheField name="Paycheck 1/29/2025" numFmtId="164">
      <sharedItems containsSemiMixedTypes="0" containsString="0" containsNumber="1" minValue="329.07" maxValue="202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Smith"/>
    <s v="Randy"/>
    <n v="30.5"/>
    <n v="40"/>
    <n v="41"/>
    <n v="40"/>
    <n v="45"/>
    <n v="42"/>
    <n v="0"/>
    <n v="1"/>
    <n v="0"/>
    <n v="5"/>
    <n v="2"/>
    <n v="1220"/>
    <n v="1265.75"/>
    <n v="1220"/>
    <n v="1448.75"/>
    <n v="1311.5"/>
  </r>
  <r>
    <x v="1"/>
    <s v="Johnson"/>
    <s v="Sam"/>
    <n v="23.25"/>
    <n v="42"/>
    <n v="40"/>
    <n v="40"/>
    <n v="42"/>
    <n v="42"/>
    <n v="2"/>
    <n v="0"/>
    <n v="0"/>
    <n v="2"/>
    <n v="2"/>
    <n v="999.75"/>
    <n v="930"/>
    <n v="930"/>
    <n v="999.75"/>
    <n v="999.75"/>
  </r>
  <r>
    <x v="2"/>
    <s v="Williams"/>
    <s v="Paul"/>
    <n v="15.67"/>
    <n v="40"/>
    <n v="40"/>
    <n v="40"/>
    <n v="40"/>
    <n v="40"/>
    <n v="0"/>
    <n v="0"/>
    <n v="0"/>
    <n v="0"/>
    <n v="0"/>
    <n v="626.79999999999995"/>
    <n v="626.79999999999995"/>
    <n v="626.79999999999995"/>
    <n v="626.79999999999995"/>
    <n v="626.79999999999995"/>
  </r>
  <r>
    <x v="3"/>
    <s v="Jones"/>
    <s v="George"/>
    <n v="40"/>
    <n v="41"/>
    <n v="40"/>
    <n v="40"/>
    <n v="41"/>
    <n v="44"/>
    <n v="1"/>
    <n v="0"/>
    <n v="0"/>
    <n v="1"/>
    <n v="4"/>
    <n v="1660"/>
    <n v="1600"/>
    <n v="1600"/>
    <n v="1660"/>
    <n v="1840"/>
  </r>
  <r>
    <x v="4"/>
    <s v="Brown"/>
    <s v="Wendy"/>
    <n v="34.36"/>
    <n v="45"/>
    <n v="40"/>
    <n v="45"/>
    <n v="42"/>
    <n v="41"/>
    <n v="5"/>
    <n v="0"/>
    <n v="5"/>
    <n v="2"/>
    <n v="1"/>
    <n v="1632.1"/>
    <n v="1374.4"/>
    <n v="1632.1"/>
    <n v="1477.48"/>
    <n v="1425.94"/>
  </r>
  <r>
    <x v="5"/>
    <s v="Davis"/>
    <s v="Nancy"/>
    <n v="25.5"/>
    <n v="50"/>
    <n v="40"/>
    <n v="42"/>
    <n v="40"/>
    <n v="40"/>
    <n v="10"/>
    <n v="0"/>
    <n v="2"/>
    <n v="0"/>
    <n v="0"/>
    <n v="1402.5"/>
    <n v="1020"/>
    <n v="1096.5"/>
    <n v="1020"/>
    <n v="1020"/>
  </r>
  <r>
    <x v="6"/>
    <s v="Miller"/>
    <s v="Karen"/>
    <n v="23.75"/>
    <n v="40"/>
    <n v="41"/>
    <n v="49"/>
    <n v="43"/>
    <n v="40"/>
    <n v="0"/>
    <n v="1"/>
    <n v="9"/>
    <n v="3"/>
    <n v="0"/>
    <n v="950"/>
    <n v="985.625"/>
    <n v="1270.625"/>
    <n v="1056.875"/>
    <n v="950"/>
  </r>
  <r>
    <x v="7"/>
    <s v="Wilson"/>
    <s v="Dennis"/>
    <n v="25"/>
    <n v="30"/>
    <n v="32"/>
    <n v="35"/>
    <n v="32"/>
    <n v="33"/>
    <n v="0"/>
    <n v="0"/>
    <n v="0"/>
    <n v="0"/>
    <n v="0"/>
    <n v="750"/>
    <n v="800"/>
    <n v="875"/>
    <n v="800"/>
    <n v="825"/>
  </r>
  <r>
    <x v="8"/>
    <s v="Moore"/>
    <s v="Sandy"/>
    <n v="28.5"/>
    <n v="45"/>
    <n v="40"/>
    <n v="41"/>
    <n v="42"/>
    <n v="40"/>
    <n v="5"/>
    <n v="0"/>
    <n v="1"/>
    <n v="2"/>
    <n v="0"/>
    <n v="1353.75"/>
    <n v="1140"/>
    <n v="1182.75"/>
    <n v="1225.5"/>
    <n v="1140"/>
  </r>
  <r>
    <x v="9"/>
    <s v="Taylor"/>
    <s v="Linda"/>
    <n v="19.5"/>
    <n v="30"/>
    <n v="25"/>
    <n v="27"/>
    <n v="29"/>
    <n v="30"/>
    <n v="0"/>
    <n v="0"/>
    <n v="0"/>
    <n v="0"/>
    <n v="0"/>
    <n v="585"/>
    <n v="487.5"/>
    <n v="526.5"/>
    <n v="565.5"/>
    <n v="585"/>
  </r>
  <r>
    <x v="10"/>
    <s v="Anderson"/>
    <s v="Olivia"/>
    <n v="15.67"/>
    <n v="21"/>
    <n v="25"/>
    <n v="24"/>
    <n v="20"/>
    <n v="21"/>
    <n v="0"/>
    <n v="0"/>
    <n v="0"/>
    <n v="0"/>
    <n v="0"/>
    <n v="329.07"/>
    <n v="391.75"/>
    <n v="376.08"/>
    <n v="313.39999999999998"/>
    <n v="329.07"/>
  </r>
  <r>
    <x v="11"/>
    <s v="Thomas"/>
    <s v="Bill"/>
    <n v="42"/>
    <n v="35"/>
    <n v="38"/>
    <n v="35"/>
    <n v="36"/>
    <n v="33"/>
    <n v="0"/>
    <n v="0"/>
    <n v="0"/>
    <n v="0"/>
    <n v="0"/>
    <n v="1470"/>
    <n v="1596"/>
    <n v="1470"/>
    <n v="1512"/>
    <n v="1386"/>
  </r>
  <r>
    <x v="12"/>
    <s v="Jackson"/>
    <s v="Trent"/>
    <n v="18"/>
    <n v="40"/>
    <n v="40"/>
    <n v="40"/>
    <n v="40"/>
    <n v="40"/>
    <n v="0"/>
    <n v="0"/>
    <n v="0"/>
    <n v="0"/>
    <n v="0"/>
    <n v="720"/>
    <n v="720"/>
    <n v="720"/>
    <n v="720"/>
    <n v="720"/>
  </r>
  <r>
    <x v="13"/>
    <s v="White"/>
    <s v="Ben"/>
    <n v="19"/>
    <n v="45"/>
    <n v="40"/>
    <n v="43"/>
    <n v="40"/>
    <n v="40"/>
    <n v="5"/>
    <n v="0"/>
    <n v="3"/>
    <n v="0"/>
    <n v="0"/>
    <n v="902.5"/>
    <n v="760"/>
    <n v="845.5"/>
    <n v="760"/>
    <n v="760"/>
  </r>
  <r>
    <x v="14"/>
    <s v="Harris"/>
    <s v="Lauren"/>
    <n v="22"/>
    <n v="40"/>
    <n v="42"/>
    <n v="41"/>
    <n v="42"/>
    <n v="40"/>
    <n v="0"/>
    <n v="2"/>
    <n v="1"/>
    <n v="2"/>
    <n v="0"/>
    <n v="880"/>
    <n v="946"/>
    <n v="913"/>
    <n v="946"/>
    <n v="880"/>
  </r>
  <r>
    <x v="15"/>
    <s v="Martin"/>
    <s v="Henry"/>
    <n v="22.15"/>
    <n v="40"/>
    <n v="40"/>
    <n v="40"/>
    <n v="42"/>
    <n v="44"/>
    <n v="0"/>
    <n v="0"/>
    <n v="0"/>
    <n v="2"/>
    <n v="4"/>
    <n v="886"/>
    <n v="886"/>
    <n v="886"/>
    <n v="952.45"/>
    <n v="1018.9"/>
  </r>
  <r>
    <x v="16"/>
    <s v="Thompson"/>
    <s v="Jasper"/>
    <n v="19.399999999999999"/>
    <n v="34"/>
    <n v="30"/>
    <n v="31"/>
    <n v="33"/>
    <n v="32"/>
    <n v="0"/>
    <n v="0"/>
    <n v="0"/>
    <n v="0"/>
    <n v="0"/>
    <n v="659.6"/>
    <n v="582"/>
    <n v="601.4"/>
    <n v="640.20000000000005"/>
    <n v="620.79999999999995"/>
  </r>
  <r>
    <x v="17"/>
    <s v="Garcia"/>
    <s v="James"/>
    <n v="18.670000000000002"/>
    <n v="36"/>
    <n v="33"/>
    <n v="32"/>
    <n v="32"/>
    <n v="36"/>
    <n v="0"/>
    <n v="0"/>
    <n v="0"/>
    <n v="0"/>
    <n v="0"/>
    <n v="672.12"/>
    <n v="616.11"/>
    <n v="597.44000000000005"/>
    <n v="597.44000000000005"/>
    <n v="672.12"/>
  </r>
  <r>
    <x v="18"/>
    <s v="Martinez"/>
    <s v="Michael"/>
    <n v="32"/>
    <n v="40"/>
    <n v="41"/>
    <n v="44"/>
    <n v="40"/>
    <n v="42"/>
    <n v="0"/>
    <n v="1"/>
    <n v="4"/>
    <n v="0"/>
    <n v="2"/>
    <n v="1280"/>
    <n v="1328"/>
    <n v="1472"/>
    <n v="1280"/>
    <n v="1376"/>
  </r>
  <r>
    <x v="19"/>
    <s v="Robinson"/>
    <s v="John"/>
    <n v="23.25"/>
    <n v="25"/>
    <n v="25"/>
    <n v="27"/>
    <n v="29"/>
    <n v="30"/>
    <n v="0"/>
    <n v="0"/>
    <n v="0"/>
    <n v="0"/>
    <n v="0"/>
    <n v="581.25"/>
    <n v="581.25"/>
    <n v="627.75"/>
    <n v="674.25"/>
    <n v="697.5"/>
  </r>
  <r>
    <x v="20"/>
    <s v="Clark"/>
    <s v="Robert"/>
    <n v="24.43"/>
    <n v="40"/>
    <n v="40"/>
    <n v="40"/>
    <n v="40"/>
    <n v="40"/>
    <n v="0"/>
    <n v="0"/>
    <n v="0"/>
    <n v="0"/>
    <n v="0"/>
    <n v="977.2"/>
    <n v="977.2"/>
    <n v="977.2"/>
    <n v="977.2"/>
    <n v="977.2"/>
  </r>
  <r>
    <x v="21"/>
    <s v="Rodriguez"/>
    <s v="David"/>
    <n v="40.5"/>
    <n v="45"/>
    <n v="40"/>
    <n v="43"/>
    <n v="40"/>
    <n v="40"/>
    <n v="5"/>
    <n v="0"/>
    <n v="3"/>
    <n v="0"/>
    <n v="0"/>
    <n v="1923.75"/>
    <n v="1620"/>
    <n v="1802.25"/>
    <n v="1620"/>
    <n v="1620"/>
  </r>
  <r>
    <x v="22"/>
    <s v="Lewis"/>
    <s v="William"/>
    <n v="50.52"/>
    <n v="40"/>
    <n v="42"/>
    <n v="41"/>
    <n v="42"/>
    <n v="40"/>
    <n v="0"/>
    <n v="2"/>
    <n v="1"/>
    <n v="2"/>
    <n v="0"/>
    <n v="2020.8"/>
    <n v="2172.36"/>
    <n v="2096.58"/>
    <n v="2172.36"/>
    <n v="2020.8"/>
  </r>
  <r>
    <x v="23"/>
    <s v="Lee"/>
    <s v="Richard"/>
    <n v="24.53"/>
    <n v="30"/>
    <n v="32"/>
    <n v="35"/>
    <n v="32"/>
    <n v="33"/>
    <n v="0"/>
    <n v="0"/>
    <n v="0"/>
    <n v="0"/>
    <n v="0"/>
    <n v="735.9"/>
    <n v="784.96"/>
    <n v="858.55"/>
    <n v="784.96"/>
    <n v="809.49"/>
  </r>
  <r>
    <x v="24"/>
    <s v="Walker"/>
    <s v="Joseph"/>
    <n v="24.45"/>
    <n v="45"/>
    <n v="40"/>
    <n v="41"/>
    <n v="42"/>
    <n v="40"/>
    <n v="5"/>
    <n v="0"/>
    <n v="1"/>
    <n v="2"/>
    <n v="0"/>
    <n v="1161.375"/>
    <n v="978"/>
    <n v="1014.675"/>
    <n v="1051.3499999999999"/>
    <n v="9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001"/>
    <x v="0"/>
    <x v="0"/>
    <n v="1220"/>
    <n v="1265.75"/>
    <n v="1220"/>
    <n v="1448.75"/>
    <n v="1311.5"/>
  </r>
  <r>
    <n v="10002"/>
    <x v="1"/>
    <x v="1"/>
    <n v="999.75"/>
    <n v="930"/>
    <n v="930"/>
    <n v="999.75"/>
    <n v="999.75"/>
  </r>
  <r>
    <n v="10003"/>
    <x v="2"/>
    <x v="2"/>
    <n v="626.79999999999995"/>
    <n v="626.79999999999995"/>
    <n v="626.79999999999995"/>
    <n v="626.79999999999995"/>
    <n v="626.79999999999995"/>
  </r>
  <r>
    <n v="10004"/>
    <x v="3"/>
    <x v="3"/>
    <n v="1660"/>
    <n v="1600"/>
    <n v="1600"/>
    <n v="1660"/>
    <n v="1840"/>
  </r>
  <r>
    <n v="10005"/>
    <x v="3"/>
    <x v="4"/>
    <n v="1632.1"/>
    <n v="1374.4"/>
    <n v="1632.1"/>
    <n v="1477.48"/>
    <n v="1425.94"/>
  </r>
  <r>
    <n v="10006"/>
    <x v="2"/>
    <x v="2"/>
    <n v="1402.5"/>
    <n v="1020"/>
    <n v="1096.5"/>
    <n v="1020"/>
    <n v="1020"/>
  </r>
  <r>
    <n v="10007"/>
    <x v="2"/>
    <x v="2"/>
    <n v="950"/>
    <n v="985.625"/>
    <n v="1270.625"/>
    <n v="1056.875"/>
    <n v="950"/>
  </r>
  <r>
    <n v="10008"/>
    <x v="4"/>
    <x v="5"/>
    <n v="750"/>
    <n v="800"/>
    <n v="875"/>
    <n v="800"/>
    <n v="825"/>
  </r>
  <r>
    <n v="10009"/>
    <x v="4"/>
    <x v="5"/>
    <n v="1353.75"/>
    <n v="1140"/>
    <n v="1182.75"/>
    <n v="1225.5"/>
    <n v="1140"/>
  </r>
  <r>
    <n v="10010"/>
    <x v="2"/>
    <x v="2"/>
    <n v="585"/>
    <n v="487.5"/>
    <n v="526.5"/>
    <n v="565.5"/>
    <n v="585"/>
  </r>
  <r>
    <n v="10011"/>
    <x v="2"/>
    <x v="2"/>
    <n v="329.07"/>
    <n v="391.75"/>
    <n v="376.08"/>
    <n v="313.39999999999998"/>
    <n v="329.07"/>
  </r>
  <r>
    <n v="10012"/>
    <x v="1"/>
    <x v="6"/>
    <n v="1470"/>
    <n v="1596"/>
    <n v="1470"/>
    <n v="1512"/>
    <n v="1386"/>
  </r>
  <r>
    <n v="10013"/>
    <x v="2"/>
    <x v="2"/>
    <n v="720"/>
    <n v="720"/>
    <n v="720"/>
    <n v="720"/>
    <n v="720"/>
  </r>
  <r>
    <n v="10014"/>
    <x v="4"/>
    <x v="7"/>
    <n v="902.5"/>
    <n v="760"/>
    <n v="845.5"/>
    <n v="760"/>
    <n v="760"/>
  </r>
  <r>
    <n v="10015"/>
    <x v="1"/>
    <x v="1"/>
    <n v="880"/>
    <n v="946"/>
    <n v="913"/>
    <n v="946"/>
    <n v="880"/>
  </r>
  <r>
    <n v="10016"/>
    <x v="1"/>
    <x v="1"/>
    <n v="886"/>
    <n v="886"/>
    <n v="886"/>
    <n v="952.45"/>
    <n v="1018.9"/>
  </r>
  <r>
    <n v="10017"/>
    <x v="2"/>
    <x v="2"/>
    <n v="659.6"/>
    <n v="582"/>
    <n v="601.4"/>
    <n v="640.20000000000005"/>
    <n v="620.79999999999995"/>
  </r>
  <r>
    <n v="10018"/>
    <x v="2"/>
    <x v="2"/>
    <n v="672.12"/>
    <n v="616.11"/>
    <n v="597.44000000000005"/>
    <n v="597.44000000000005"/>
    <n v="672.12"/>
  </r>
  <r>
    <n v="10019"/>
    <x v="2"/>
    <x v="8"/>
    <n v="1280"/>
    <n v="1328"/>
    <n v="1472"/>
    <n v="1280"/>
    <n v="1376"/>
  </r>
  <r>
    <n v="10020"/>
    <x v="0"/>
    <x v="9"/>
    <n v="581.25"/>
    <n v="581.25"/>
    <n v="627.75"/>
    <n v="674.25"/>
    <n v="697.5"/>
  </r>
  <r>
    <n v="10021"/>
    <x v="0"/>
    <x v="9"/>
    <n v="977.2"/>
    <n v="977.2"/>
    <n v="977.2"/>
    <n v="977.2"/>
    <n v="977.2"/>
  </r>
  <r>
    <n v="10022"/>
    <x v="4"/>
    <x v="7"/>
    <n v="1923.75"/>
    <n v="1620"/>
    <n v="1802.25"/>
    <n v="1620"/>
    <n v="1620"/>
  </r>
  <r>
    <n v="10023"/>
    <x v="3"/>
    <x v="10"/>
    <n v="2020.8"/>
    <n v="2172.36"/>
    <n v="2096.58"/>
    <n v="2172.36"/>
    <n v="2020.8"/>
  </r>
  <r>
    <n v="10024"/>
    <x v="3"/>
    <x v="4"/>
    <n v="735.9"/>
    <n v="784.96"/>
    <n v="858.55"/>
    <n v="784.96"/>
    <n v="809.49"/>
  </r>
  <r>
    <n v="10025"/>
    <x v="3"/>
    <x v="4"/>
    <n v="1161.375"/>
    <n v="978"/>
    <n v="1014.675"/>
    <n v="1051.3499999999999"/>
    <n v="9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BDF3D-01FD-46D4-B999-04CFC099FEB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J2:P19" firstHeaderRow="0" firstDataRow="1" firstDataCol="2"/>
  <pivotFields count="8">
    <pivotField compact="0" outline="0" showAll="0"/>
    <pivotField axis="axisRow" compact="0" outline="0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2">
        <item x="2"/>
        <item x="8"/>
        <item x="4"/>
        <item x="3"/>
        <item x="10"/>
        <item x="1"/>
        <item x="6"/>
        <item x="0"/>
        <item x="9"/>
        <item x="7"/>
        <item x="5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2">
    <field x="1"/>
    <field x="2"/>
  </rowFields>
  <rowItems count="17">
    <i>
      <x/>
      <x/>
    </i>
    <i r="1">
      <x v="1"/>
    </i>
    <i t="default">
      <x/>
    </i>
    <i>
      <x v="1"/>
      <x v="2"/>
    </i>
    <i r="1">
      <x v="3"/>
    </i>
    <i r="1">
      <x v="4"/>
    </i>
    <i t="default">
      <x v="1"/>
    </i>
    <i>
      <x v="4"/>
      <x v="9"/>
    </i>
    <i r="1">
      <x v="10"/>
    </i>
    <i t="default">
      <x v="4"/>
    </i>
    <i>
      <x v="2"/>
      <x v="5"/>
    </i>
    <i r="1">
      <x v="6"/>
    </i>
    <i t="default">
      <x v="2"/>
    </i>
    <i>
      <x v="3"/>
      <x v="7"/>
    </i>
    <i r="1">
      <x v="8"/>
    </i>
    <i t="default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aycheck 1/1/2025" fld="3" baseField="0" baseItem="0" numFmtId="164"/>
    <dataField name="Sum of Paycheck 1/8/2025" fld="4" baseField="0" baseItem="0" numFmtId="164"/>
    <dataField name="Sum of Paycheck 1/15/2025" fld="5" baseField="0" baseItem="0" numFmtId="164"/>
    <dataField name="Sum of Paycheck 1/22/2025" fld="6" baseField="0" baseItem="0" numFmtId="164"/>
    <dataField name="Sum of Paycheck 1/29/2025" fld="7" baseField="0" baseItem="0" numFmtId="164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5E86D-47E8-4612-99C1-29C0EC13B21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F27" firstHeaderRow="0" firstDataRow="1" firstDataCol="1"/>
  <pivotFields count="19">
    <pivotField axis="axisRow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aycheck 1/1/2025" fld="14" baseField="0" baseItem="0" numFmtId="164"/>
    <dataField name="Paycheck 1/8/2025" fld="15" baseField="0" baseItem="0" numFmtId="164"/>
    <dataField name="Paycheck 1/15/2025" fld="16" baseField="0" baseItem="0" numFmtId="164"/>
    <dataField name="Paycheck 1/22/2025" fld="17" baseField="0" baseItem="0" numFmtId="164"/>
    <dataField name="Paycheck 1/29/2025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DFF5F-EF92-44DC-9000-9197DF0EAB8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T2:Y8" firstHeaderRow="0" firstDataRow="1" firstDataCol="1"/>
  <pivotFields count="8">
    <pivotField compact="0" outline="0" showAll="0"/>
    <pivotField axis="axisRow" compact="0" outline="0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2"/>
        <item x="8"/>
        <item x="4"/>
        <item x="3"/>
        <item x="10"/>
        <item x="1"/>
        <item x="6"/>
        <item x="0"/>
        <item x="9"/>
        <item x="7"/>
        <item x="5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1"/>
  </rowFields>
  <rowItems count="6">
    <i>
      <x/>
    </i>
    <i>
      <x v="1"/>
    </i>
    <i>
      <x v="4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aycheck 1/1/2025" fld="3" baseField="0" baseItem="0" numFmtId="164"/>
    <dataField name="Sum of Paycheck 1/8/2025" fld="4" baseField="0" baseItem="0" numFmtId="164"/>
    <dataField name="Sum of Paycheck 1/15/2025" fld="5" baseField="0" baseItem="0" numFmtId="164"/>
    <dataField name="Sum of Paycheck 1/22/2025" fld="6" baseField="0" baseItem="0" numFmtId="164"/>
    <dataField name="Sum of Paycheck 1/29/2025" fld="7" baseField="0" baseItem="0" numFmtId="164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E88E7-9B66-498F-A8B0-97980FE56F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F27" firstHeaderRow="0" firstDataRow="1" firstDataCol="1"/>
  <pivotFields count="19">
    <pivotField axis="axisRow" compact="0" outline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aycheck 1/1/2025" fld="14" baseField="0" baseItem="0" numFmtId="164"/>
    <dataField name="Paycheck 1/8/2025" fld="15" baseField="0" baseItem="0" numFmtId="164"/>
    <dataField name="Paycheck 1/15/2025" fld="16" baseField="0" baseItem="0" numFmtId="164"/>
    <dataField name="Paycheck 1/22/2025" fld="17" baseField="0" baseItem="0" numFmtId="164"/>
    <dataField name="Paycheck 1/29/2025" fld="1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DB4B6-484B-4CF8-B11A-86C9261A678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:G19" firstHeaderRow="0" firstDataRow="1" firstDataCol="2"/>
  <pivotFields count="8">
    <pivotField compact="0" outline="0" showAll="0"/>
    <pivotField axis="axisRow" compact="0" outline="0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2">
        <item x="2"/>
        <item x="8"/>
        <item x="4"/>
        <item x="3"/>
        <item x="10"/>
        <item x="1"/>
        <item x="6"/>
        <item x="0"/>
        <item x="9"/>
        <item x="7"/>
        <item x="5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2">
    <field x="1"/>
    <field x="2"/>
  </rowFields>
  <rowItems count="17">
    <i>
      <x/>
      <x/>
    </i>
    <i r="1">
      <x v="1"/>
    </i>
    <i t="default">
      <x/>
    </i>
    <i>
      <x v="1"/>
      <x v="2"/>
    </i>
    <i r="1">
      <x v="3"/>
    </i>
    <i r="1">
      <x v="4"/>
    </i>
    <i t="default">
      <x v="1"/>
    </i>
    <i>
      <x v="4"/>
      <x v="9"/>
    </i>
    <i r="1">
      <x v="10"/>
    </i>
    <i t="default">
      <x v="4"/>
    </i>
    <i>
      <x v="2"/>
      <x v="5"/>
    </i>
    <i r="1">
      <x v="6"/>
    </i>
    <i t="default">
      <x v="2"/>
    </i>
    <i>
      <x v="3"/>
      <x v="7"/>
    </i>
    <i r="1">
      <x v="8"/>
    </i>
    <i t="default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aycheck 1/1/2025" fld="3" baseField="0" baseItem="0" numFmtId="164"/>
    <dataField name="Sum of Paycheck 1/8/2025" fld="4" baseField="0" baseItem="0" numFmtId="164"/>
    <dataField name="Sum of Paycheck 1/15/2025" fld="5" baseField="0" baseItem="0" numFmtId="164"/>
    <dataField name="Sum of Paycheck 1/22/2025" fld="6" baseField="0" baseItem="0" numFmtId="164"/>
    <dataField name="Sum of Paycheck 1/29/2025" fld="7" baseField="0" baseItem="0" numFmtId="164"/>
  </dataFields>
  <chartFormats count="35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62420-B17B-4087-96B6-A87891C6769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2:F8" firstHeaderRow="0" firstDataRow="1" firstDataCol="1"/>
  <pivotFields count="8">
    <pivotField compact="0" outline="0" showAll="0"/>
    <pivotField axis="axisRow" compact="0" outline="0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2">
        <item x="2"/>
        <item x="8"/>
        <item x="4"/>
        <item x="3"/>
        <item x="10"/>
        <item x="1"/>
        <item x="6"/>
        <item x="0"/>
        <item x="9"/>
        <item x="7"/>
        <item x="5"/>
        <item t="default"/>
      </items>
    </pivotField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1"/>
  </rowFields>
  <rowItems count="6">
    <i>
      <x/>
    </i>
    <i>
      <x v="1"/>
    </i>
    <i>
      <x v="4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aycheck 1/1/2025" fld="3" baseField="0" baseItem="0" numFmtId="164"/>
    <dataField name="Sum of Paycheck 1/8/2025" fld="4" baseField="0" baseItem="0" numFmtId="164"/>
    <dataField name="Sum of Paycheck 1/15/2025" fld="5" baseField="0" baseItem="0" numFmtId="164"/>
    <dataField name="Sum of Paycheck 1/22/2025" fld="6" baseField="0" baseItem="0" numFmtId="164"/>
    <dataField name="Sum of Paycheck 1/29/2025" fld="7" baseField="0" baseItem="0" numFmtId="164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7CFF-48BA-465F-8470-981D14DD7FC7}">
  <dimension ref="A1:Y33"/>
  <sheetViews>
    <sheetView tabSelected="1" workbookViewId="0">
      <selection activeCell="C35" sqref="C35"/>
    </sheetView>
  </sheetViews>
  <sheetFormatPr baseColWidth="10" defaultColWidth="8.83203125" defaultRowHeight="15" x14ac:dyDescent="0.2"/>
  <cols>
    <col min="1" max="1" width="15.5" bestFit="1" customWidth="1"/>
    <col min="2" max="3" width="18.5" bestFit="1" customWidth="1"/>
    <col min="4" max="6" width="19.5" bestFit="1" customWidth="1"/>
    <col min="10" max="10" width="16.5" bestFit="1" customWidth="1"/>
    <col min="11" max="11" width="25" bestFit="1" customWidth="1"/>
    <col min="12" max="13" width="25.1640625" bestFit="1" customWidth="1"/>
    <col min="14" max="16" width="26.33203125" bestFit="1" customWidth="1"/>
    <col min="20" max="20" width="16.5" bestFit="1" customWidth="1"/>
    <col min="21" max="22" width="25.1640625" bestFit="1" customWidth="1"/>
    <col min="23" max="25" width="26.33203125" bestFit="1" customWidth="1"/>
  </cols>
  <sheetData>
    <row r="1" spans="1:25" x14ac:dyDescent="0.2">
      <c r="A1" s="21" t="s">
        <v>0</v>
      </c>
      <c r="B1" s="21" t="s">
        <v>1</v>
      </c>
      <c r="C1" t="s">
        <v>2</v>
      </c>
      <c r="D1" t="s">
        <v>3</v>
      </c>
      <c r="E1" t="s">
        <v>4</v>
      </c>
      <c r="F1" t="s">
        <v>5</v>
      </c>
      <c r="J1" s="23" t="s">
        <v>6</v>
      </c>
      <c r="K1" s="23"/>
      <c r="L1" s="23"/>
      <c r="M1" s="23"/>
      <c r="N1" s="23"/>
      <c r="O1" s="23"/>
      <c r="P1" s="23"/>
      <c r="T1" s="23" t="s">
        <v>7</v>
      </c>
      <c r="U1" s="23"/>
      <c r="V1" s="23"/>
      <c r="W1" s="23"/>
      <c r="X1" s="23"/>
      <c r="Y1" s="23"/>
    </row>
    <row r="2" spans="1:25" x14ac:dyDescent="0.2">
      <c r="A2">
        <v>10001</v>
      </c>
      <c r="B2" s="1">
        <v>1220</v>
      </c>
      <c r="C2" s="1">
        <v>1265.75</v>
      </c>
      <c r="D2" s="1">
        <v>1220</v>
      </c>
      <c r="E2" s="1">
        <v>1448.75</v>
      </c>
      <c r="F2" s="1">
        <v>1311.5</v>
      </c>
      <c r="J2" s="21" t="s">
        <v>8</v>
      </c>
      <c r="K2" s="21" t="s">
        <v>9</v>
      </c>
      <c r="L2" s="21" t="s">
        <v>10</v>
      </c>
      <c r="M2" t="s">
        <v>11</v>
      </c>
      <c r="N2" t="s">
        <v>12</v>
      </c>
      <c r="O2" t="s">
        <v>13</v>
      </c>
      <c r="P2" t="s">
        <v>14</v>
      </c>
      <c r="T2" s="21" t="s">
        <v>8</v>
      </c>
      <c r="U2" s="21" t="s">
        <v>10</v>
      </c>
      <c r="V2" t="s">
        <v>11</v>
      </c>
      <c r="W2" t="s">
        <v>12</v>
      </c>
      <c r="X2" t="s">
        <v>13</v>
      </c>
      <c r="Y2" t="s">
        <v>14</v>
      </c>
    </row>
    <row r="3" spans="1:25" x14ac:dyDescent="0.2">
      <c r="A3">
        <v>10002</v>
      </c>
      <c r="B3" s="1">
        <v>999.75</v>
      </c>
      <c r="C3" s="1">
        <v>930</v>
      </c>
      <c r="D3" s="1">
        <v>930</v>
      </c>
      <c r="E3" s="1">
        <v>999.75</v>
      </c>
      <c r="F3" s="1">
        <v>999.75</v>
      </c>
      <c r="J3" t="s">
        <v>15</v>
      </c>
      <c r="K3" t="s">
        <v>16</v>
      </c>
      <c r="L3" s="1">
        <v>5945.0900000000011</v>
      </c>
      <c r="M3" s="1">
        <v>5429.7849999999999</v>
      </c>
      <c r="N3" s="1">
        <v>5815.3449999999993</v>
      </c>
      <c r="O3" s="1">
        <v>5540.2150000000001</v>
      </c>
      <c r="P3" s="1">
        <v>5523.7900000000009</v>
      </c>
      <c r="T3" t="s">
        <v>15</v>
      </c>
      <c r="U3" s="1">
        <v>7225.0900000000011</v>
      </c>
      <c r="V3" s="1">
        <v>6757.7849999999999</v>
      </c>
      <c r="W3" s="1">
        <v>7287.3449999999993</v>
      </c>
      <c r="X3" s="1">
        <v>6820.2150000000001</v>
      </c>
      <c r="Y3" s="1">
        <v>6899.7900000000009</v>
      </c>
    </row>
    <row r="4" spans="1:25" x14ac:dyDescent="0.2">
      <c r="A4">
        <v>10003</v>
      </c>
      <c r="B4" s="1">
        <v>626.79999999999995</v>
      </c>
      <c r="C4" s="1">
        <v>626.79999999999995</v>
      </c>
      <c r="D4" s="1">
        <v>626.79999999999995</v>
      </c>
      <c r="E4" s="1">
        <v>626.79999999999995</v>
      </c>
      <c r="F4" s="1">
        <v>626.79999999999995</v>
      </c>
      <c r="K4" t="s">
        <v>17</v>
      </c>
      <c r="L4" s="1">
        <v>1280</v>
      </c>
      <c r="M4" s="1">
        <v>1328</v>
      </c>
      <c r="N4" s="1">
        <v>1472</v>
      </c>
      <c r="O4" s="1">
        <v>1280</v>
      </c>
      <c r="P4" s="1">
        <v>1376</v>
      </c>
      <c r="T4" t="s">
        <v>18</v>
      </c>
      <c r="U4" s="1">
        <v>7210.1749999999993</v>
      </c>
      <c r="V4" s="1">
        <v>6909.72</v>
      </c>
      <c r="W4" s="1">
        <v>7201.9050000000007</v>
      </c>
      <c r="X4" s="1">
        <v>7146.15</v>
      </c>
      <c r="Y4" s="1">
        <v>7074.23</v>
      </c>
    </row>
    <row r="5" spans="1:25" x14ac:dyDescent="0.2">
      <c r="A5">
        <v>10004</v>
      </c>
      <c r="B5" s="1">
        <v>1660</v>
      </c>
      <c r="C5" s="1">
        <v>1600</v>
      </c>
      <c r="D5" s="1">
        <v>1600</v>
      </c>
      <c r="E5" s="1">
        <v>1660</v>
      </c>
      <c r="F5" s="1">
        <v>1840</v>
      </c>
      <c r="J5" t="s">
        <v>19</v>
      </c>
      <c r="L5" s="1">
        <v>7225.0900000000011</v>
      </c>
      <c r="M5" s="1">
        <v>6757.7849999999999</v>
      </c>
      <c r="N5" s="1">
        <v>7287.3449999999993</v>
      </c>
      <c r="O5" s="1">
        <v>6820.2150000000001</v>
      </c>
      <c r="P5" s="1">
        <v>6899.7900000000009</v>
      </c>
      <c r="T5" t="s">
        <v>20</v>
      </c>
      <c r="U5" s="1">
        <v>4930</v>
      </c>
      <c r="V5" s="1">
        <v>4320</v>
      </c>
      <c r="W5" s="1">
        <v>4705.5</v>
      </c>
      <c r="X5" s="1">
        <v>4405.5</v>
      </c>
      <c r="Y5" s="1">
        <v>4345</v>
      </c>
    </row>
    <row r="6" spans="1:25" x14ac:dyDescent="0.2">
      <c r="A6">
        <v>10005</v>
      </c>
      <c r="B6" s="1">
        <v>1632.1</v>
      </c>
      <c r="C6" s="1">
        <v>1374.4</v>
      </c>
      <c r="D6" s="1">
        <v>1632.1</v>
      </c>
      <c r="E6" s="1">
        <v>1477.48</v>
      </c>
      <c r="F6" s="1">
        <v>1425.94</v>
      </c>
      <c r="J6" t="s">
        <v>18</v>
      </c>
      <c r="K6" t="s">
        <v>21</v>
      </c>
      <c r="L6" s="1">
        <v>3529.375</v>
      </c>
      <c r="M6" s="1">
        <v>3137.36</v>
      </c>
      <c r="N6" s="1">
        <v>3505.3249999999998</v>
      </c>
      <c r="O6" s="1">
        <v>3313.79</v>
      </c>
      <c r="P6" s="1">
        <v>3213.4300000000003</v>
      </c>
      <c r="T6" t="s">
        <v>22</v>
      </c>
      <c r="U6" s="1">
        <v>4235.75</v>
      </c>
      <c r="V6" s="1">
        <v>4358</v>
      </c>
      <c r="W6" s="1">
        <v>4199</v>
      </c>
      <c r="X6" s="1">
        <v>4410.2</v>
      </c>
      <c r="Y6" s="1">
        <v>4284.6499999999996</v>
      </c>
    </row>
    <row r="7" spans="1:25" x14ac:dyDescent="0.2">
      <c r="A7">
        <v>10006</v>
      </c>
      <c r="B7" s="1">
        <v>1402.5</v>
      </c>
      <c r="C7" s="1">
        <v>1020</v>
      </c>
      <c r="D7" s="1">
        <v>1096.5</v>
      </c>
      <c r="E7" s="1">
        <v>1020</v>
      </c>
      <c r="F7" s="1">
        <v>1020</v>
      </c>
      <c r="K7" t="s">
        <v>23</v>
      </c>
      <c r="L7" s="1">
        <v>1660</v>
      </c>
      <c r="M7" s="1">
        <v>1600</v>
      </c>
      <c r="N7" s="1">
        <v>1600</v>
      </c>
      <c r="O7" s="1">
        <v>1660</v>
      </c>
      <c r="P7" s="1">
        <v>1840</v>
      </c>
      <c r="T7" t="s">
        <v>24</v>
      </c>
      <c r="U7" s="1">
        <v>2778.45</v>
      </c>
      <c r="V7" s="1">
        <v>2824.2</v>
      </c>
      <c r="W7" s="1">
        <v>2824.95</v>
      </c>
      <c r="X7" s="1">
        <v>3100.2</v>
      </c>
      <c r="Y7" s="1">
        <v>2986.2</v>
      </c>
    </row>
    <row r="8" spans="1:25" x14ac:dyDescent="0.2">
      <c r="A8">
        <v>10007</v>
      </c>
      <c r="B8" s="1">
        <v>950</v>
      </c>
      <c r="C8" s="1">
        <v>985.625</v>
      </c>
      <c r="D8" s="1">
        <v>1270.625</v>
      </c>
      <c r="E8" s="1">
        <v>1056.875</v>
      </c>
      <c r="F8" s="1">
        <v>950</v>
      </c>
      <c r="K8" t="s">
        <v>25</v>
      </c>
      <c r="L8" s="1">
        <v>2020.8</v>
      </c>
      <c r="M8" s="1">
        <v>2172.36</v>
      </c>
      <c r="N8" s="1">
        <v>2096.58</v>
      </c>
      <c r="O8" s="1">
        <v>2172.36</v>
      </c>
      <c r="P8" s="1">
        <v>2020.8</v>
      </c>
      <c r="T8" t="s">
        <v>26</v>
      </c>
      <c r="U8" s="1">
        <v>26379.465</v>
      </c>
      <c r="V8" s="1">
        <v>25169.705000000002</v>
      </c>
      <c r="W8" s="1">
        <v>26218.7</v>
      </c>
      <c r="X8" s="1">
        <v>25882.264999999999</v>
      </c>
      <c r="Y8" s="1">
        <v>25589.87</v>
      </c>
    </row>
    <row r="9" spans="1:25" x14ac:dyDescent="0.2">
      <c r="A9">
        <v>10008</v>
      </c>
      <c r="B9" s="1">
        <v>750</v>
      </c>
      <c r="C9" s="1">
        <v>800</v>
      </c>
      <c r="D9" s="1">
        <v>875</v>
      </c>
      <c r="E9" s="1">
        <v>800</v>
      </c>
      <c r="F9" s="1">
        <v>825</v>
      </c>
      <c r="J9" t="s">
        <v>27</v>
      </c>
      <c r="L9" s="1">
        <v>7210.1750000000002</v>
      </c>
      <c r="M9" s="1">
        <v>6909.7200000000012</v>
      </c>
      <c r="N9" s="1">
        <v>7201.9049999999997</v>
      </c>
      <c r="O9" s="1">
        <v>7146.15</v>
      </c>
      <c r="P9" s="1">
        <v>7074.2300000000005</v>
      </c>
    </row>
    <row r="10" spans="1:25" x14ac:dyDescent="0.2">
      <c r="A10">
        <v>10009</v>
      </c>
      <c r="B10" s="1">
        <v>1353.75</v>
      </c>
      <c r="C10" s="1">
        <v>1140</v>
      </c>
      <c r="D10" s="1">
        <v>1182.75</v>
      </c>
      <c r="E10" s="1">
        <v>1225.5</v>
      </c>
      <c r="F10" s="1">
        <v>1140</v>
      </c>
      <c r="J10" t="s">
        <v>20</v>
      </c>
      <c r="K10" t="s">
        <v>20</v>
      </c>
      <c r="L10" s="1">
        <v>2826.25</v>
      </c>
      <c r="M10" s="1">
        <v>2380</v>
      </c>
      <c r="N10" s="1">
        <v>2647.75</v>
      </c>
      <c r="O10" s="1">
        <v>2380</v>
      </c>
      <c r="P10" s="1">
        <v>2380</v>
      </c>
    </row>
    <row r="11" spans="1:25" x14ac:dyDescent="0.2">
      <c r="A11">
        <v>10010</v>
      </c>
      <c r="B11" s="1">
        <v>585</v>
      </c>
      <c r="C11" s="1">
        <v>487.5</v>
      </c>
      <c r="D11" s="1">
        <v>526.5</v>
      </c>
      <c r="E11" s="1">
        <v>565.5</v>
      </c>
      <c r="F11" s="1">
        <v>585</v>
      </c>
      <c r="K11" t="s">
        <v>28</v>
      </c>
      <c r="L11" s="1">
        <v>2103.75</v>
      </c>
      <c r="M11" s="1">
        <v>1940</v>
      </c>
      <c r="N11" s="1">
        <v>2057.75</v>
      </c>
      <c r="O11" s="1">
        <v>2025.5</v>
      </c>
      <c r="P11" s="1">
        <v>1965</v>
      </c>
    </row>
    <row r="12" spans="1:25" x14ac:dyDescent="0.2">
      <c r="A12">
        <v>10011</v>
      </c>
      <c r="B12" s="1">
        <v>329.07</v>
      </c>
      <c r="C12" s="1">
        <v>391.75</v>
      </c>
      <c r="D12" s="1">
        <v>376.08</v>
      </c>
      <c r="E12" s="1">
        <v>313.39999999999998</v>
      </c>
      <c r="F12" s="1">
        <v>329.07</v>
      </c>
      <c r="J12" t="s">
        <v>29</v>
      </c>
      <c r="L12" s="1">
        <v>4930</v>
      </c>
      <c r="M12" s="1">
        <v>4320</v>
      </c>
      <c r="N12" s="1">
        <v>4705.5</v>
      </c>
      <c r="O12" s="1">
        <v>4405.5</v>
      </c>
      <c r="P12" s="1">
        <v>4345</v>
      </c>
    </row>
    <row r="13" spans="1:25" x14ac:dyDescent="0.2">
      <c r="A13">
        <v>10012</v>
      </c>
      <c r="B13" s="1">
        <v>1470</v>
      </c>
      <c r="C13" s="1">
        <v>1596</v>
      </c>
      <c r="D13" s="1">
        <v>1470</v>
      </c>
      <c r="E13" s="1">
        <v>1512</v>
      </c>
      <c r="F13" s="1">
        <v>1386</v>
      </c>
      <c r="J13" t="s">
        <v>22</v>
      </c>
      <c r="K13" t="s">
        <v>22</v>
      </c>
      <c r="L13" s="1">
        <v>2765.75</v>
      </c>
      <c r="M13" s="1">
        <v>2762</v>
      </c>
      <c r="N13" s="1">
        <v>2729</v>
      </c>
      <c r="O13" s="1">
        <v>2898.2</v>
      </c>
      <c r="P13" s="1">
        <v>2898.65</v>
      </c>
    </row>
    <row r="14" spans="1:25" x14ac:dyDescent="0.2">
      <c r="A14">
        <v>10013</v>
      </c>
      <c r="B14" s="1">
        <v>720</v>
      </c>
      <c r="C14" s="1">
        <v>720</v>
      </c>
      <c r="D14" s="1">
        <v>720</v>
      </c>
      <c r="E14" s="1">
        <v>720</v>
      </c>
      <c r="F14" s="1">
        <v>720</v>
      </c>
      <c r="K14" t="s">
        <v>30</v>
      </c>
      <c r="L14" s="1">
        <v>1470</v>
      </c>
      <c r="M14" s="1">
        <v>1596</v>
      </c>
      <c r="N14" s="1">
        <v>1470</v>
      </c>
      <c r="O14" s="1">
        <v>1512</v>
      </c>
      <c r="P14" s="1">
        <v>1386</v>
      </c>
    </row>
    <row r="15" spans="1:25" x14ac:dyDescent="0.2">
      <c r="A15">
        <v>10014</v>
      </c>
      <c r="B15" s="1">
        <v>902.5</v>
      </c>
      <c r="C15" s="1">
        <v>760</v>
      </c>
      <c r="D15" s="1">
        <v>845.5</v>
      </c>
      <c r="E15" s="1">
        <v>760</v>
      </c>
      <c r="F15" s="1">
        <v>760</v>
      </c>
      <c r="J15" t="s">
        <v>31</v>
      </c>
      <c r="L15" s="1">
        <v>4235.75</v>
      </c>
      <c r="M15" s="1">
        <v>4358</v>
      </c>
      <c r="N15" s="1">
        <v>4199</v>
      </c>
      <c r="O15" s="1">
        <v>4410.2</v>
      </c>
      <c r="P15" s="1">
        <v>4284.6499999999996</v>
      </c>
    </row>
    <row r="16" spans="1:25" x14ac:dyDescent="0.2">
      <c r="A16">
        <v>10015</v>
      </c>
      <c r="B16" s="1">
        <v>880</v>
      </c>
      <c r="C16" s="1">
        <v>946</v>
      </c>
      <c r="D16" s="1">
        <v>913</v>
      </c>
      <c r="E16" s="1">
        <v>946</v>
      </c>
      <c r="F16" s="1">
        <v>880</v>
      </c>
      <c r="J16" t="s">
        <v>24</v>
      </c>
      <c r="K16" t="s">
        <v>32</v>
      </c>
      <c r="L16" s="1">
        <v>1220</v>
      </c>
      <c r="M16" s="1">
        <v>1265.75</v>
      </c>
      <c r="N16" s="1">
        <v>1220</v>
      </c>
      <c r="O16" s="1">
        <v>1448.75</v>
      </c>
      <c r="P16" s="1">
        <v>1311.5</v>
      </c>
    </row>
    <row r="17" spans="1:16" x14ac:dyDescent="0.2">
      <c r="A17">
        <v>10016</v>
      </c>
      <c r="B17" s="1">
        <v>886</v>
      </c>
      <c r="C17" s="1">
        <v>886</v>
      </c>
      <c r="D17" s="1">
        <v>886</v>
      </c>
      <c r="E17" s="1">
        <v>952.45</v>
      </c>
      <c r="F17" s="1">
        <v>1018.9</v>
      </c>
      <c r="K17" t="s">
        <v>33</v>
      </c>
      <c r="L17" s="1">
        <v>1558.45</v>
      </c>
      <c r="M17" s="1">
        <v>1558.45</v>
      </c>
      <c r="N17" s="1">
        <v>1604.95</v>
      </c>
      <c r="O17" s="1">
        <v>1651.45</v>
      </c>
      <c r="P17" s="1">
        <v>1674.7</v>
      </c>
    </row>
    <row r="18" spans="1:16" x14ac:dyDescent="0.2">
      <c r="A18">
        <v>10017</v>
      </c>
      <c r="B18" s="1">
        <v>659.6</v>
      </c>
      <c r="C18" s="1">
        <v>582</v>
      </c>
      <c r="D18" s="1">
        <v>601.4</v>
      </c>
      <c r="E18" s="1">
        <v>640.20000000000005</v>
      </c>
      <c r="F18" s="1">
        <v>620.79999999999995</v>
      </c>
      <c r="J18" t="s">
        <v>34</v>
      </c>
      <c r="L18" s="1">
        <v>2778.45</v>
      </c>
      <c r="M18" s="1">
        <v>2824.2</v>
      </c>
      <c r="N18" s="1">
        <v>2824.95</v>
      </c>
      <c r="O18" s="1">
        <v>3100.2</v>
      </c>
      <c r="P18" s="1">
        <v>2986.2</v>
      </c>
    </row>
    <row r="19" spans="1:16" x14ac:dyDescent="0.2">
      <c r="A19">
        <v>10018</v>
      </c>
      <c r="B19" s="1">
        <v>672.12</v>
      </c>
      <c r="C19" s="1">
        <v>616.11</v>
      </c>
      <c r="D19" s="1">
        <v>597.44000000000005</v>
      </c>
      <c r="E19" s="1">
        <v>597.44000000000005</v>
      </c>
      <c r="F19" s="1">
        <v>672.12</v>
      </c>
      <c r="J19" t="s">
        <v>26</v>
      </c>
      <c r="L19" s="1">
        <v>26379.465</v>
      </c>
      <c r="M19" s="1">
        <v>25169.705000000002</v>
      </c>
      <c r="N19" s="1">
        <v>26218.7</v>
      </c>
      <c r="O19" s="1">
        <v>25882.265000000003</v>
      </c>
      <c r="P19" s="1">
        <v>25589.870000000003</v>
      </c>
    </row>
    <row r="20" spans="1:16" x14ac:dyDescent="0.2">
      <c r="A20">
        <v>10019</v>
      </c>
      <c r="B20" s="1">
        <v>1280</v>
      </c>
      <c r="C20" s="1">
        <v>1328</v>
      </c>
      <c r="D20" s="1">
        <v>1472</v>
      </c>
      <c r="E20" s="1">
        <v>1280</v>
      </c>
      <c r="F20" s="1">
        <v>1376</v>
      </c>
    </row>
    <row r="21" spans="1:16" x14ac:dyDescent="0.2">
      <c r="A21">
        <v>10020</v>
      </c>
      <c r="B21" s="1">
        <v>581.25</v>
      </c>
      <c r="C21" s="1">
        <v>581.25</v>
      </c>
      <c r="D21" s="1">
        <v>627.75</v>
      </c>
      <c r="E21" s="1">
        <v>674.25</v>
      </c>
      <c r="F21" s="1">
        <v>697.5</v>
      </c>
    </row>
    <row r="22" spans="1:16" x14ac:dyDescent="0.2">
      <c r="A22">
        <v>10021</v>
      </c>
      <c r="B22" s="1">
        <v>977.2</v>
      </c>
      <c r="C22" s="1">
        <v>977.2</v>
      </c>
      <c r="D22" s="1">
        <v>977.2</v>
      </c>
      <c r="E22" s="1">
        <v>977.2</v>
      </c>
      <c r="F22" s="1">
        <v>977.2</v>
      </c>
    </row>
    <row r="23" spans="1:16" x14ac:dyDescent="0.2">
      <c r="A23">
        <v>10022</v>
      </c>
      <c r="B23" s="1">
        <v>1923.75</v>
      </c>
      <c r="C23" s="1">
        <v>1620</v>
      </c>
      <c r="D23" s="1">
        <v>1802.25</v>
      </c>
      <c r="E23" s="1">
        <v>1620</v>
      </c>
      <c r="F23" s="1">
        <v>1620</v>
      </c>
    </row>
    <row r="24" spans="1:16" x14ac:dyDescent="0.2">
      <c r="A24">
        <v>10023</v>
      </c>
      <c r="B24" s="1">
        <v>2020.8</v>
      </c>
      <c r="C24" s="1">
        <v>2172.36</v>
      </c>
      <c r="D24" s="1">
        <v>2096.58</v>
      </c>
      <c r="E24" s="1">
        <v>2172.36</v>
      </c>
      <c r="F24" s="1">
        <v>2020.8</v>
      </c>
    </row>
    <row r="25" spans="1:16" x14ac:dyDescent="0.2">
      <c r="A25">
        <v>10024</v>
      </c>
      <c r="B25" s="1">
        <v>735.9</v>
      </c>
      <c r="C25" s="1">
        <v>784.96</v>
      </c>
      <c r="D25" s="1">
        <v>858.55</v>
      </c>
      <c r="E25" s="1">
        <v>784.96</v>
      </c>
      <c r="F25" s="1">
        <v>809.49</v>
      </c>
    </row>
    <row r="26" spans="1:16" x14ac:dyDescent="0.2">
      <c r="A26">
        <v>10025</v>
      </c>
      <c r="B26" s="1">
        <v>1161.375</v>
      </c>
      <c r="C26" s="1">
        <v>978</v>
      </c>
      <c r="D26" s="1">
        <v>1014.675</v>
      </c>
      <c r="E26" s="1">
        <v>1051.3499999999999</v>
      </c>
      <c r="F26" s="1">
        <v>978</v>
      </c>
    </row>
    <row r="27" spans="1:16" x14ac:dyDescent="0.2">
      <c r="A27" t="s">
        <v>26</v>
      </c>
      <c r="B27" s="1">
        <v>26379.465</v>
      </c>
      <c r="C27" s="1">
        <v>25169.705000000002</v>
      </c>
      <c r="D27" s="1">
        <v>26218.699999999997</v>
      </c>
      <c r="E27" s="1">
        <v>25882.264999999999</v>
      </c>
      <c r="F27" s="1">
        <v>25589.87</v>
      </c>
    </row>
    <row r="29" spans="1:16" x14ac:dyDescent="0.2">
      <c r="A29" t="s">
        <v>35</v>
      </c>
      <c r="B29" s="1">
        <f>AVERAGE(B2:B26)</f>
        <v>1055.1786</v>
      </c>
      <c r="C29" s="1">
        <f t="shared" ref="C29:F29" si="0">AVERAGE(C2:C26)</f>
        <v>1006.7882000000001</v>
      </c>
      <c r="D29" s="1">
        <f t="shared" si="0"/>
        <v>1048.7479999999998</v>
      </c>
      <c r="E29" s="1">
        <f t="shared" si="0"/>
        <v>1035.2906</v>
      </c>
      <c r="F29" s="1">
        <f t="shared" si="0"/>
        <v>1023.5948</v>
      </c>
    </row>
    <row r="30" spans="1:16" x14ac:dyDescent="0.2">
      <c r="A30" t="s">
        <v>36</v>
      </c>
      <c r="B30" s="1">
        <f>MAX(B2:B26)</f>
        <v>2020.8</v>
      </c>
      <c r="C30" s="1">
        <f t="shared" ref="C30:F30" si="1">MAX(C2:C26)</f>
        <v>2172.36</v>
      </c>
      <c r="D30" s="1">
        <f t="shared" si="1"/>
        <v>2096.58</v>
      </c>
      <c r="E30" s="1">
        <f t="shared" si="1"/>
        <v>2172.36</v>
      </c>
      <c r="F30" s="1">
        <f t="shared" si="1"/>
        <v>2020.8</v>
      </c>
    </row>
    <row r="31" spans="1:16" x14ac:dyDescent="0.2">
      <c r="A31" t="s">
        <v>37</v>
      </c>
      <c r="B31" s="1">
        <f>MIN(B2:B26)</f>
        <v>329.07</v>
      </c>
      <c r="C31" s="1">
        <f t="shared" ref="C31:F31" si="2">MIN(C2:C26)</f>
        <v>391.75</v>
      </c>
      <c r="D31" s="1">
        <f t="shared" si="2"/>
        <v>376.08</v>
      </c>
      <c r="E31" s="1">
        <f t="shared" si="2"/>
        <v>313.39999999999998</v>
      </c>
      <c r="F31" s="1">
        <f t="shared" si="2"/>
        <v>329.07</v>
      </c>
    </row>
    <row r="33" spans="1:2" x14ac:dyDescent="0.2">
      <c r="A33" t="s">
        <v>38</v>
      </c>
      <c r="B33" s="1">
        <f>SUM(B27:F27)</f>
        <v>129240.00499999999</v>
      </c>
    </row>
  </sheetData>
  <mergeCells count="2">
    <mergeCell ref="J1:P1"/>
    <mergeCell ref="T1:Y1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selection activeCell="I34" sqref="I34"/>
    </sheetView>
  </sheetViews>
  <sheetFormatPr baseColWidth="10" defaultColWidth="8.83203125" defaultRowHeight="15" x14ac:dyDescent="0.2"/>
  <cols>
    <col min="1" max="1" width="11.83203125" bestFit="1" customWidth="1"/>
    <col min="2" max="2" width="16" bestFit="1" customWidth="1"/>
    <col min="3" max="3" width="10.5" bestFit="1" customWidth="1"/>
    <col min="4" max="4" width="12" bestFit="1" customWidth="1"/>
    <col min="5" max="5" width="10.5" customWidth="1"/>
    <col min="7" max="9" width="10.1640625" bestFit="1" customWidth="1"/>
    <col min="15" max="16" width="9.83203125" bestFit="1" customWidth="1"/>
    <col min="17" max="17" width="10.1640625" bestFit="1" customWidth="1"/>
    <col min="18" max="18" width="10.33203125" bestFit="1" customWidth="1"/>
    <col min="19" max="19" width="10.1640625" bestFit="1" customWidth="1"/>
  </cols>
  <sheetData>
    <row r="1" spans="1:19" x14ac:dyDescent="0.2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">
      <c r="A2" s="30" t="s">
        <v>40</v>
      </c>
      <c r="B2" s="30"/>
      <c r="C2" s="30"/>
      <c r="D2" s="31"/>
      <c r="E2" s="26" t="s">
        <v>41</v>
      </c>
      <c r="F2" s="26"/>
      <c r="G2" s="26"/>
      <c r="H2" s="26"/>
      <c r="I2" s="27"/>
      <c r="J2" s="24" t="s">
        <v>42</v>
      </c>
      <c r="K2" s="24"/>
      <c r="L2" s="24"/>
      <c r="M2" s="24"/>
      <c r="N2" s="25"/>
      <c r="O2" s="28" t="s">
        <v>43</v>
      </c>
      <c r="P2" s="28"/>
      <c r="Q2" s="28"/>
      <c r="R2" s="28"/>
      <c r="S2" s="28"/>
    </row>
    <row r="3" spans="1:19" x14ac:dyDescent="0.2">
      <c r="A3" s="7" t="s">
        <v>0</v>
      </c>
      <c r="B3" s="7" t="s">
        <v>44</v>
      </c>
      <c r="C3" s="7" t="s">
        <v>45</v>
      </c>
      <c r="D3" s="8" t="s">
        <v>46</v>
      </c>
      <c r="E3" s="11">
        <v>45658</v>
      </c>
      <c r="F3" s="11">
        <f>E3+7</f>
        <v>45665</v>
      </c>
      <c r="G3" s="11">
        <f t="shared" ref="G3:I3" si="0">F3+7</f>
        <v>45672</v>
      </c>
      <c r="H3" s="11">
        <f t="shared" si="0"/>
        <v>45679</v>
      </c>
      <c r="I3" s="12">
        <f t="shared" si="0"/>
        <v>45686</v>
      </c>
      <c r="J3" s="14">
        <v>45658</v>
      </c>
      <c r="K3" s="14">
        <f>J3+7</f>
        <v>45665</v>
      </c>
      <c r="L3" s="14">
        <f t="shared" ref="L3:N3" si="1">K3+7</f>
        <v>45672</v>
      </c>
      <c r="M3" s="14">
        <f t="shared" si="1"/>
        <v>45679</v>
      </c>
      <c r="N3" s="16">
        <f t="shared" si="1"/>
        <v>45686</v>
      </c>
      <c r="O3" s="18">
        <v>45658</v>
      </c>
      <c r="P3" s="18">
        <f>O3+7</f>
        <v>45665</v>
      </c>
      <c r="Q3" s="18">
        <f t="shared" ref="Q3" si="2">P3+7</f>
        <v>45672</v>
      </c>
      <c r="R3" s="18">
        <f t="shared" ref="R3" si="3">Q3+7</f>
        <v>45679</v>
      </c>
      <c r="S3" s="18">
        <f t="shared" ref="S3" si="4">R3+7</f>
        <v>45686</v>
      </c>
    </row>
    <row r="4" spans="1:19" x14ac:dyDescent="0.2">
      <c r="A4" s="6">
        <v>10001</v>
      </c>
      <c r="B4" s="5" t="s">
        <v>47</v>
      </c>
      <c r="C4" s="5" t="s">
        <v>48</v>
      </c>
      <c r="D4" s="9">
        <v>30.5</v>
      </c>
      <c r="E4" s="10">
        <v>40</v>
      </c>
      <c r="F4" s="10">
        <v>41</v>
      </c>
      <c r="G4" s="10">
        <v>40</v>
      </c>
      <c r="H4" s="10">
        <v>45</v>
      </c>
      <c r="I4" s="13">
        <v>42</v>
      </c>
      <c r="J4" s="15">
        <f>IF(E4&gt;40,E4-40,0)</f>
        <v>0</v>
      </c>
      <c r="K4" s="15">
        <f t="shared" ref="K4:N19" si="5">IF(F4&gt;40,F4-40,0)</f>
        <v>1</v>
      </c>
      <c r="L4" s="15">
        <f t="shared" si="5"/>
        <v>0</v>
      </c>
      <c r="M4" s="15">
        <f t="shared" si="5"/>
        <v>5</v>
      </c>
      <c r="N4" s="17">
        <f t="shared" si="5"/>
        <v>2</v>
      </c>
      <c r="O4" s="19">
        <f>($D4*E4)+(J4*(0.5*$D4))</f>
        <v>1220</v>
      </c>
      <c r="P4" s="19">
        <f>($D4*F4)+(K4*(0.5*$D4))</f>
        <v>1265.75</v>
      </c>
      <c r="Q4" s="19">
        <f t="shared" ref="Q4:S19" si="6">($D4*G4)+(L4*(0.5*$D4))</f>
        <v>1220</v>
      </c>
      <c r="R4" s="19">
        <f>($D4*H4)+(M4*(0.5*$D4))</f>
        <v>1448.75</v>
      </c>
      <c r="S4" s="19">
        <f t="shared" si="6"/>
        <v>1311.5</v>
      </c>
    </row>
    <row r="5" spans="1:19" x14ac:dyDescent="0.2">
      <c r="A5" s="6">
        <v>10002</v>
      </c>
      <c r="B5" s="5" t="s">
        <v>49</v>
      </c>
      <c r="C5" s="5" t="s">
        <v>50</v>
      </c>
      <c r="D5" s="9">
        <v>23.25</v>
      </c>
      <c r="E5" s="10">
        <v>42</v>
      </c>
      <c r="F5" s="10">
        <v>40</v>
      </c>
      <c r="G5" s="10">
        <v>40</v>
      </c>
      <c r="H5" s="10">
        <v>42</v>
      </c>
      <c r="I5" s="13">
        <v>42</v>
      </c>
      <c r="J5" s="15">
        <f t="shared" ref="J5:J28" si="7">IF(E5&gt;40,E5-40,0)</f>
        <v>2</v>
      </c>
      <c r="K5" s="15">
        <f t="shared" si="5"/>
        <v>0</v>
      </c>
      <c r="L5" s="15">
        <f t="shared" si="5"/>
        <v>0</v>
      </c>
      <c r="M5" s="15">
        <f t="shared" si="5"/>
        <v>2</v>
      </c>
      <c r="N5" s="17">
        <f t="shared" si="5"/>
        <v>2</v>
      </c>
      <c r="O5" s="19">
        <f t="shared" ref="O5:O28" si="8">($D5*E5)+(J5*(0.5*$D5))</f>
        <v>999.75</v>
      </c>
      <c r="P5" s="19">
        <f t="shared" ref="P5:P28" si="9">($D5*F5)+(K5*(0.5*$D5))</f>
        <v>930</v>
      </c>
      <c r="Q5" s="19">
        <f t="shared" si="6"/>
        <v>930</v>
      </c>
      <c r="R5" s="19">
        <f t="shared" si="6"/>
        <v>999.75</v>
      </c>
      <c r="S5" s="19">
        <f t="shared" si="6"/>
        <v>999.75</v>
      </c>
    </row>
    <row r="6" spans="1:19" x14ac:dyDescent="0.2">
      <c r="A6" s="6">
        <v>10003</v>
      </c>
      <c r="B6" s="5" t="s">
        <v>51</v>
      </c>
      <c r="C6" s="5" t="s">
        <v>52</v>
      </c>
      <c r="D6" s="9">
        <v>15.67</v>
      </c>
      <c r="E6" s="10">
        <v>40</v>
      </c>
      <c r="F6" s="10">
        <v>40</v>
      </c>
      <c r="G6" s="10">
        <v>40</v>
      </c>
      <c r="H6" s="10">
        <v>40</v>
      </c>
      <c r="I6" s="13">
        <v>40</v>
      </c>
      <c r="J6" s="15">
        <f t="shared" si="7"/>
        <v>0</v>
      </c>
      <c r="K6" s="15">
        <f t="shared" si="5"/>
        <v>0</v>
      </c>
      <c r="L6" s="15">
        <f t="shared" si="5"/>
        <v>0</v>
      </c>
      <c r="M6" s="15">
        <f t="shared" si="5"/>
        <v>0</v>
      </c>
      <c r="N6" s="17">
        <f t="shared" si="5"/>
        <v>0</v>
      </c>
      <c r="O6" s="19">
        <f t="shared" si="8"/>
        <v>626.79999999999995</v>
      </c>
      <c r="P6" s="19">
        <f t="shared" si="9"/>
        <v>626.79999999999995</v>
      </c>
      <c r="Q6" s="19">
        <f t="shared" si="6"/>
        <v>626.79999999999995</v>
      </c>
      <c r="R6" s="19">
        <f t="shared" si="6"/>
        <v>626.79999999999995</v>
      </c>
      <c r="S6" s="19">
        <f t="shared" si="6"/>
        <v>626.79999999999995</v>
      </c>
    </row>
    <row r="7" spans="1:19" x14ac:dyDescent="0.2">
      <c r="A7" s="6">
        <v>10004</v>
      </c>
      <c r="B7" s="5" t="s">
        <v>53</v>
      </c>
      <c r="C7" s="5" t="s">
        <v>54</v>
      </c>
      <c r="D7" s="9">
        <v>40</v>
      </c>
      <c r="E7" s="10">
        <v>41</v>
      </c>
      <c r="F7" s="10">
        <v>40</v>
      </c>
      <c r="G7" s="10">
        <v>40</v>
      </c>
      <c r="H7" s="10">
        <v>41</v>
      </c>
      <c r="I7" s="13">
        <v>44</v>
      </c>
      <c r="J7" s="15">
        <f t="shared" si="7"/>
        <v>1</v>
      </c>
      <c r="K7" s="15">
        <f t="shared" si="5"/>
        <v>0</v>
      </c>
      <c r="L7" s="15">
        <f t="shared" si="5"/>
        <v>0</v>
      </c>
      <c r="M7" s="15">
        <f t="shared" si="5"/>
        <v>1</v>
      </c>
      <c r="N7" s="17">
        <f t="shared" si="5"/>
        <v>4</v>
      </c>
      <c r="O7" s="19">
        <f t="shared" si="8"/>
        <v>1660</v>
      </c>
      <c r="P7" s="19">
        <f t="shared" si="9"/>
        <v>1600</v>
      </c>
      <c r="Q7" s="19">
        <f t="shared" si="6"/>
        <v>1600</v>
      </c>
      <c r="R7" s="19">
        <f t="shared" si="6"/>
        <v>1660</v>
      </c>
      <c r="S7" s="19">
        <f t="shared" si="6"/>
        <v>1840</v>
      </c>
    </row>
    <row r="8" spans="1:19" x14ac:dyDescent="0.2">
      <c r="A8" s="6">
        <v>10005</v>
      </c>
      <c r="B8" s="5" t="s">
        <v>55</v>
      </c>
      <c r="C8" s="5" t="s">
        <v>56</v>
      </c>
      <c r="D8" s="9">
        <v>34.36</v>
      </c>
      <c r="E8" s="10">
        <v>45</v>
      </c>
      <c r="F8" s="10">
        <v>40</v>
      </c>
      <c r="G8" s="10">
        <v>45</v>
      </c>
      <c r="H8" s="10">
        <v>42</v>
      </c>
      <c r="I8" s="13">
        <v>41</v>
      </c>
      <c r="J8" s="15">
        <f t="shared" si="7"/>
        <v>5</v>
      </c>
      <c r="K8" s="15">
        <f t="shared" si="5"/>
        <v>0</v>
      </c>
      <c r="L8" s="15">
        <f t="shared" si="5"/>
        <v>5</v>
      </c>
      <c r="M8" s="15">
        <f t="shared" si="5"/>
        <v>2</v>
      </c>
      <c r="N8" s="17">
        <f t="shared" si="5"/>
        <v>1</v>
      </c>
      <c r="O8" s="19">
        <f t="shared" si="8"/>
        <v>1632.1000000000001</v>
      </c>
      <c r="P8" s="19">
        <f t="shared" si="9"/>
        <v>1374.4</v>
      </c>
      <c r="Q8" s="19">
        <f t="shared" si="6"/>
        <v>1632.1000000000001</v>
      </c>
      <c r="R8" s="19">
        <f t="shared" si="6"/>
        <v>1477.4799999999998</v>
      </c>
      <c r="S8" s="19">
        <f t="shared" si="6"/>
        <v>1425.94</v>
      </c>
    </row>
    <row r="9" spans="1:19" x14ac:dyDescent="0.2">
      <c r="A9" s="6">
        <v>10006</v>
      </c>
      <c r="B9" s="5" t="s">
        <v>57</v>
      </c>
      <c r="C9" s="5" t="s">
        <v>58</v>
      </c>
      <c r="D9" s="9">
        <v>25.5</v>
      </c>
      <c r="E9" s="10">
        <v>50</v>
      </c>
      <c r="F9" s="10">
        <v>40</v>
      </c>
      <c r="G9" s="10">
        <v>42</v>
      </c>
      <c r="H9" s="10">
        <v>40</v>
      </c>
      <c r="I9" s="13">
        <v>40</v>
      </c>
      <c r="J9" s="15">
        <f t="shared" si="7"/>
        <v>10</v>
      </c>
      <c r="K9" s="15">
        <f t="shared" si="5"/>
        <v>0</v>
      </c>
      <c r="L9" s="15">
        <f t="shared" si="5"/>
        <v>2</v>
      </c>
      <c r="M9" s="15">
        <f t="shared" si="5"/>
        <v>0</v>
      </c>
      <c r="N9" s="17">
        <f t="shared" si="5"/>
        <v>0</v>
      </c>
      <c r="O9" s="19">
        <f t="shared" si="8"/>
        <v>1402.5</v>
      </c>
      <c r="P9" s="19">
        <f t="shared" si="9"/>
        <v>1020</v>
      </c>
      <c r="Q9" s="19">
        <f t="shared" si="6"/>
        <v>1096.5</v>
      </c>
      <c r="R9" s="19">
        <f t="shared" si="6"/>
        <v>1020</v>
      </c>
      <c r="S9" s="19">
        <f t="shared" si="6"/>
        <v>1020</v>
      </c>
    </row>
    <row r="10" spans="1:19" x14ac:dyDescent="0.2">
      <c r="A10" s="6">
        <v>10007</v>
      </c>
      <c r="B10" s="5" t="s">
        <v>59</v>
      </c>
      <c r="C10" s="5" t="s">
        <v>60</v>
      </c>
      <c r="D10" s="9">
        <v>23.75</v>
      </c>
      <c r="E10" s="10">
        <v>40</v>
      </c>
      <c r="F10" s="10">
        <v>41</v>
      </c>
      <c r="G10" s="10">
        <v>49</v>
      </c>
      <c r="H10" s="10">
        <v>43</v>
      </c>
      <c r="I10" s="13">
        <v>40</v>
      </c>
      <c r="J10" s="15">
        <f t="shared" si="7"/>
        <v>0</v>
      </c>
      <c r="K10" s="15">
        <f t="shared" si="5"/>
        <v>1</v>
      </c>
      <c r="L10" s="15">
        <f t="shared" si="5"/>
        <v>9</v>
      </c>
      <c r="M10" s="15">
        <f t="shared" si="5"/>
        <v>3</v>
      </c>
      <c r="N10" s="17">
        <f t="shared" si="5"/>
        <v>0</v>
      </c>
      <c r="O10" s="19">
        <f t="shared" si="8"/>
        <v>950</v>
      </c>
      <c r="P10" s="19">
        <f t="shared" si="9"/>
        <v>985.625</v>
      </c>
      <c r="Q10" s="19">
        <f t="shared" si="6"/>
        <v>1270.625</v>
      </c>
      <c r="R10" s="19">
        <f t="shared" si="6"/>
        <v>1056.875</v>
      </c>
      <c r="S10" s="19">
        <f t="shared" si="6"/>
        <v>950</v>
      </c>
    </row>
    <row r="11" spans="1:19" x14ac:dyDescent="0.2">
      <c r="A11" s="6">
        <v>10008</v>
      </c>
      <c r="B11" s="5" t="s">
        <v>61</v>
      </c>
      <c r="C11" s="5" t="s">
        <v>62</v>
      </c>
      <c r="D11" s="9">
        <v>25</v>
      </c>
      <c r="E11" s="10">
        <v>30</v>
      </c>
      <c r="F11" s="10">
        <v>32</v>
      </c>
      <c r="G11" s="10">
        <v>35</v>
      </c>
      <c r="H11" s="10">
        <v>32</v>
      </c>
      <c r="I11" s="13">
        <v>33</v>
      </c>
      <c r="J11" s="15">
        <f t="shared" si="7"/>
        <v>0</v>
      </c>
      <c r="K11" s="15">
        <f t="shared" si="5"/>
        <v>0</v>
      </c>
      <c r="L11" s="15">
        <f t="shared" si="5"/>
        <v>0</v>
      </c>
      <c r="M11" s="15">
        <f t="shared" si="5"/>
        <v>0</v>
      </c>
      <c r="N11" s="17">
        <f t="shared" si="5"/>
        <v>0</v>
      </c>
      <c r="O11" s="19">
        <f t="shared" si="8"/>
        <v>750</v>
      </c>
      <c r="P11" s="19">
        <f t="shared" si="9"/>
        <v>800</v>
      </c>
      <c r="Q11" s="19">
        <f t="shared" si="6"/>
        <v>875</v>
      </c>
      <c r="R11" s="19">
        <f t="shared" si="6"/>
        <v>800</v>
      </c>
      <c r="S11" s="19">
        <f t="shared" si="6"/>
        <v>825</v>
      </c>
    </row>
    <row r="12" spans="1:19" x14ac:dyDescent="0.2">
      <c r="A12" s="6">
        <v>10009</v>
      </c>
      <c r="B12" s="5" t="s">
        <v>63</v>
      </c>
      <c r="C12" s="5" t="s">
        <v>64</v>
      </c>
      <c r="D12" s="9">
        <v>28.5</v>
      </c>
      <c r="E12" s="10">
        <v>45</v>
      </c>
      <c r="F12" s="10">
        <v>40</v>
      </c>
      <c r="G12" s="10">
        <v>41</v>
      </c>
      <c r="H12" s="10">
        <v>42</v>
      </c>
      <c r="I12" s="13">
        <v>40</v>
      </c>
      <c r="J12" s="15">
        <f t="shared" si="7"/>
        <v>5</v>
      </c>
      <c r="K12" s="15">
        <f t="shared" si="5"/>
        <v>0</v>
      </c>
      <c r="L12" s="15">
        <f t="shared" si="5"/>
        <v>1</v>
      </c>
      <c r="M12" s="15">
        <f t="shared" si="5"/>
        <v>2</v>
      </c>
      <c r="N12" s="17">
        <f t="shared" si="5"/>
        <v>0</v>
      </c>
      <c r="O12" s="19">
        <f t="shared" si="8"/>
        <v>1353.75</v>
      </c>
      <c r="P12" s="19">
        <f t="shared" si="9"/>
        <v>1140</v>
      </c>
      <c r="Q12" s="19">
        <f t="shared" si="6"/>
        <v>1182.75</v>
      </c>
      <c r="R12" s="19">
        <f t="shared" si="6"/>
        <v>1225.5</v>
      </c>
      <c r="S12" s="19">
        <f t="shared" si="6"/>
        <v>1140</v>
      </c>
    </row>
    <row r="13" spans="1:19" x14ac:dyDescent="0.2">
      <c r="A13" s="6">
        <v>10010</v>
      </c>
      <c r="B13" s="5" t="s">
        <v>65</v>
      </c>
      <c r="C13" s="5" t="s">
        <v>66</v>
      </c>
      <c r="D13" s="9">
        <v>19.5</v>
      </c>
      <c r="E13" s="10">
        <v>30</v>
      </c>
      <c r="F13" s="10">
        <v>25</v>
      </c>
      <c r="G13" s="10">
        <v>27</v>
      </c>
      <c r="H13" s="10">
        <v>29</v>
      </c>
      <c r="I13" s="13">
        <v>30</v>
      </c>
      <c r="J13" s="15">
        <f t="shared" si="7"/>
        <v>0</v>
      </c>
      <c r="K13" s="15">
        <f t="shared" si="5"/>
        <v>0</v>
      </c>
      <c r="L13" s="15">
        <f t="shared" si="5"/>
        <v>0</v>
      </c>
      <c r="M13" s="15">
        <f t="shared" si="5"/>
        <v>0</v>
      </c>
      <c r="N13" s="17">
        <f t="shared" si="5"/>
        <v>0</v>
      </c>
      <c r="O13" s="19">
        <f t="shared" si="8"/>
        <v>585</v>
      </c>
      <c r="P13" s="19">
        <f t="shared" si="9"/>
        <v>487.5</v>
      </c>
      <c r="Q13" s="19">
        <f t="shared" si="6"/>
        <v>526.5</v>
      </c>
      <c r="R13" s="19">
        <f t="shared" si="6"/>
        <v>565.5</v>
      </c>
      <c r="S13" s="19">
        <f t="shared" si="6"/>
        <v>585</v>
      </c>
    </row>
    <row r="14" spans="1:19" x14ac:dyDescent="0.2">
      <c r="A14" s="6">
        <v>10011</v>
      </c>
      <c r="B14" s="5" t="s">
        <v>67</v>
      </c>
      <c r="C14" s="5" t="s">
        <v>68</v>
      </c>
      <c r="D14" s="9">
        <v>15.67</v>
      </c>
      <c r="E14" s="10">
        <v>21</v>
      </c>
      <c r="F14" s="10">
        <v>25</v>
      </c>
      <c r="G14" s="10">
        <v>24</v>
      </c>
      <c r="H14" s="10">
        <v>20</v>
      </c>
      <c r="I14" s="13">
        <v>21</v>
      </c>
      <c r="J14" s="15">
        <f t="shared" si="7"/>
        <v>0</v>
      </c>
      <c r="K14" s="15">
        <f t="shared" si="5"/>
        <v>0</v>
      </c>
      <c r="L14" s="15">
        <f t="shared" si="5"/>
        <v>0</v>
      </c>
      <c r="M14" s="15">
        <f t="shared" si="5"/>
        <v>0</v>
      </c>
      <c r="N14" s="17">
        <f t="shared" si="5"/>
        <v>0</v>
      </c>
      <c r="O14" s="19">
        <f t="shared" si="8"/>
        <v>329.07</v>
      </c>
      <c r="P14" s="19">
        <f t="shared" si="9"/>
        <v>391.75</v>
      </c>
      <c r="Q14" s="19">
        <f t="shared" si="6"/>
        <v>376.08</v>
      </c>
      <c r="R14" s="19">
        <f t="shared" si="6"/>
        <v>313.39999999999998</v>
      </c>
      <c r="S14" s="19">
        <f t="shared" si="6"/>
        <v>329.07</v>
      </c>
    </row>
    <row r="15" spans="1:19" x14ac:dyDescent="0.2">
      <c r="A15" s="6">
        <v>10012</v>
      </c>
      <c r="B15" s="5" t="s">
        <v>69</v>
      </c>
      <c r="C15" s="5" t="s">
        <v>70</v>
      </c>
      <c r="D15" s="9">
        <v>42</v>
      </c>
      <c r="E15" s="10">
        <v>35</v>
      </c>
      <c r="F15" s="10">
        <v>38</v>
      </c>
      <c r="G15" s="10">
        <v>35</v>
      </c>
      <c r="H15" s="10">
        <v>36</v>
      </c>
      <c r="I15" s="13">
        <v>33</v>
      </c>
      <c r="J15" s="15">
        <f t="shared" si="7"/>
        <v>0</v>
      </c>
      <c r="K15" s="15">
        <f t="shared" si="5"/>
        <v>0</v>
      </c>
      <c r="L15" s="15">
        <f t="shared" si="5"/>
        <v>0</v>
      </c>
      <c r="M15" s="15">
        <f t="shared" si="5"/>
        <v>0</v>
      </c>
      <c r="N15" s="17">
        <f t="shared" si="5"/>
        <v>0</v>
      </c>
      <c r="O15" s="19">
        <f t="shared" si="8"/>
        <v>1470</v>
      </c>
      <c r="P15" s="19">
        <f t="shared" si="9"/>
        <v>1596</v>
      </c>
      <c r="Q15" s="19">
        <f t="shared" si="6"/>
        <v>1470</v>
      </c>
      <c r="R15" s="19">
        <f t="shared" si="6"/>
        <v>1512</v>
      </c>
      <c r="S15" s="19">
        <f t="shared" si="6"/>
        <v>1386</v>
      </c>
    </row>
    <row r="16" spans="1:19" x14ac:dyDescent="0.2">
      <c r="A16" s="6">
        <v>10013</v>
      </c>
      <c r="B16" s="5" t="s">
        <v>71</v>
      </c>
      <c r="C16" s="5" t="s">
        <v>72</v>
      </c>
      <c r="D16" s="9">
        <v>18</v>
      </c>
      <c r="E16" s="10">
        <v>40</v>
      </c>
      <c r="F16" s="10">
        <v>40</v>
      </c>
      <c r="G16" s="10">
        <v>40</v>
      </c>
      <c r="H16" s="10">
        <v>40</v>
      </c>
      <c r="I16" s="13">
        <v>40</v>
      </c>
      <c r="J16" s="15">
        <f t="shared" si="7"/>
        <v>0</v>
      </c>
      <c r="K16" s="15">
        <f t="shared" si="5"/>
        <v>0</v>
      </c>
      <c r="L16" s="15">
        <f t="shared" si="5"/>
        <v>0</v>
      </c>
      <c r="M16" s="15">
        <f t="shared" si="5"/>
        <v>0</v>
      </c>
      <c r="N16" s="17">
        <f t="shared" si="5"/>
        <v>0</v>
      </c>
      <c r="O16" s="19">
        <f t="shared" si="8"/>
        <v>720</v>
      </c>
      <c r="P16" s="19">
        <f t="shared" si="9"/>
        <v>720</v>
      </c>
      <c r="Q16" s="19">
        <f t="shared" si="6"/>
        <v>720</v>
      </c>
      <c r="R16" s="19">
        <f t="shared" si="6"/>
        <v>720</v>
      </c>
      <c r="S16" s="19">
        <f t="shared" si="6"/>
        <v>720</v>
      </c>
    </row>
    <row r="17" spans="1:19" x14ac:dyDescent="0.2">
      <c r="A17" s="6">
        <v>10014</v>
      </c>
      <c r="B17" s="5" t="s">
        <v>73</v>
      </c>
      <c r="C17" s="5" t="s">
        <v>74</v>
      </c>
      <c r="D17" s="9">
        <v>19</v>
      </c>
      <c r="E17" s="10">
        <v>45</v>
      </c>
      <c r="F17" s="10">
        <v>40</v>
      </c>
      <c r="G17" s="10">
        <v>43</v>
      </c>
      <c r="H17" s="10">
        <v>40</v>
      </c>
      <c r="I17" s="13">
        <v>40</v>
      </c>
      <c r="J17" s="15">
        <f t="shared" si="7"/>
        <v>5</v>
      </c>
      <c r="K17" s="15">
        <f t="shared" si="5"/>
        <v>0</v>
      </c>
      <c r="L17" s="15">
        <f t="shared" si="5"/>
        <v>3</v>
      </c>
      <c r="M17" s="15">
        <f t="shared" si="5"/>
        <v>0</v>
      </c>
      <c r="N17" s="17">
        <f t="shared" si="5"/>
        <v>0</v>
      </c>
      <c r="O17" s="19">
        <f t="shared" si="8"/>
        <v>902.5</v>
      </c>
      <c r="P17" s="19">
        <f t="shared" si="9"/>
        <v>760</v>
      </c>
      <c r="Q17" s="19">
        <f t="shared" si="6"/>
        <v>845.5</v>
      </c>
      <c r="R17" s="19">
        <f t="shared" si="6"/>
        <v>760</v>
      </c>
      <c r="S17" s="19">
        <f t="shared" si="6"/>
        <v>760</v>
      </c>
    </row>
    <row r="18" spans="1:19" x14ac:dyDescent="0.2">
      <c r="A18" s="6">
        <v>10015</v>
      </c>
      <c r="B18" s="5" t="s">
        <v>75</v>
      </c>
      <c r="C18" s="5" t="s">
        <v>76</v>
      </c>
      <c r="D18" s="9">
        <v>22</v>
      </c>
      <c r="E18" s="10">
        <v>40</v>
      </c>
      <c r="F18" s="10">
        <v>42</v>
      </c>
      <c r="G18" s="10">
        <v>41</v>
      </c>
      <c r="H18" s="10">
        <v>42</v>
      </c>
      <c r="I18" s="13">
        <v>40</v>
      </c>
      <c r="J18" s="15">
        <f t="shared" si="7"/>
        <v>0</v>
      </c>
      <c r="K18" s="15">
        <f t="shared" si="5"/>
        <v>2</v>
      </c>
      <c r="L18" s="15">
        <f t="shared" si="5"/>
        <v>1</v>
      </c>
      <c r="M18" s="15">
        <f t="shared" si="5"/>
        <v>2</v>
      </c>
      <c r="N18" s="17">
        <f t="shared" si="5"/>
        <v>0</v>
      </c>
      <c r="O18" s="19">
        <f t="shared" si="8"/>
        <v>880</v>
      </c>
      <c r="P18" s="19">
        <f t="shared" si="9"/>
        <v>946</v>
      </c>
      <c r="Q18" s="19">
        <f t="shared" si="6"/>
        <v>913</v>
      </c>
      <c r="R18" s="19">
        <f t="shared" si="6"/>
        <v>946</v>
      </c>
      <c r="S18" s="19">
        <f t="shared" si="6"/>
        <v>880</v>
      </c>
    </row>
    <row r="19" spans="1:19" x14ac:dyDescent="0.2">
      <c r="A19" s="6">
        <v>10016</v>
      </c>
      <c r="B19" s="5" t="s">
        <v>77</v>
      </c>
      <c r="C19" s="5" t="s">
        <v>78</v>
      </c>
      <c r="D19" s="9">
        <v>22.15</v>
      </c>
      <c r="E19" s="10">
        <v>40</v>
      </c>
      <c r="F19" s="10">
        <v>40</v>
      </c>
      <c r="G19" s="10">
        <v>40</v>
      </c>
      <c r="H19" s="10">
        <v>42</v>
      </c>
      <c r="I19" s="13">
        <v>44</v>
      </c>
      <c r="J19" s="15">
        <f t="shared" si="7"/>
        <v>0</v>
      </c>
      <c r="K19" s="15">
        <f t="shared" si="5"/>
        <v>0</v>
      </c>
      <c r="L19" s="15">
        <f t="shared" si="5"/>
        <v>0</v>
      </c>
      <c r="M19" s="15">
        <f t="shared" si="5"/>
        <v>2</v>
      </c>
      <c r="N19" s="17">
        <f t="shared" si="5"/>
        <v>4</v>
      </c>
      <c r="O19" s="19">
        <f t="shared" si="8"/>
        <v>886</v>
      </c>
      <c r="P19" s="19">
        <f t="shared" si="9"/>
        <v>886</v>
      </c>
      <c r="Q19" s="19">
        <f t="shared" si="6"/>
        <v>886</v>
      </c>
      <c r="R19" s="19">
        <f t="shared" si="6"/>
        <v>952.44999999999993</v>
      </c>
      <c r="S19" s="19">
        <f t="shared" si="6"/>
        <v>1018.8999999999999</v>
      </c>
    </row>
    <row r="20" spans="1:19" x14ac:dyDescent="0.2">
      <c r="A20" s="6">
        <v>10017</v>
      </c>
      <c r="B20" s="5" t="s">
        <v>79</v>
      </c>
      <c r="C20" s="5" t="s">
        <v>80</v>
      </c>
      <c r="D20" s="9">
        <v>19.399999999999999</v>
      </c>
      <c r="E20" s="10">
        <v>34</v>
      </c>
      <c r="F20" s="10">
        <v>30</v>
      </c>
      <c r="G20" s="10">
        <v>31</v>
      </c>
      <c r="H20" s="10">
        <v>33</v>
      </c>
      <c r="I20" s="13">
        <v>32</v>
      </c>
      <c r="J20" s="15">
        <f t="shared" si="7"/>
        <v>0</v>
      </c>
      <c r="K20" s="15">
        <f t="shared" ref="K20:K28" si="10">IF(F20&gt;40,F20-40,0)</f>
        <v>0</v>
      </c>
      <c r="L20" s="15">
        <f t="shared" ref="L20:L28" si="11">IF(G20&gt;40,G20-40,0)</f>
        <v>0</v>
      </c>
      <c r="M20" s="15">
        <f t="shared" ref="M20:M28" si="12">IF(H20&gt;40,H20-40,0)</f>
        <v>0</v>
      </c>
      <c r="N20" s="17">
        <f t="shared" ref="N20:N28" si="13">IF(I20&gt;40,I20-40,0)</f>
        <v>0</v>
      </c>
      <c r="O20" s="19">
        <f t="shared" si="8"/>
        <v>659.59999999999991</v>
      </c>
      <c r="P20" s="19">
        <f t="shared" si="9"/>
        <v>582</v>
      </c>
      <c r="Q20" s="19">
        <f t="shared" ref="Q20:Q28" si="14">($D20*G20)+(L20*(0.5*$D20))</f>
        <v>601.4</v>
      </c>
      <c r="R20" s="19">
        <f t="shared" ref="R20:R28" si="15">($D20*H20)+(M20*(0.5*$D20))</f>
        <v>640.19999999999993</v>
      </c>
      <c r="S20" s="19">
        <f t="shared" ref="S20:S28" si="16">($D20*I20)+(N20*(0.5*$D20))</f>
        <v>620.79999999999995</v>
      </c>
    </row>
    <row r="21" spans="1:19" x14ac:dyDescent="0.2">
      <c r="A21" s="6">
        <v>10018</v>
      </c>
      <c r="B21" s="5" t="s">
        <v>81</v>
      </c>
      <c r="C21" s="5" t="s">
        <v>82</v>
      </c>
      <c r="D21" s="9">
        <v>18.670000000000002</v>
      </c>
      <c r="E21" s="10">
        <v>36</v>
      </c>
      <c r="F21" s="10">
        <v>33</v>
      </c>
      <c r="G21" s="10">
        <v>32</v>
      </c>
      <c r="H21" s="10">
        <v>32</v>
      </c>
      <c r="I21" s="13">
        <v>36</v>
      </c>
      <c r="J21" s="15">
        <f t="shared" si="7"/>
        <v>0</v>
      </c>
      <c r="K21" s="15">
        <f t="shared" si="10"/>
        <v>0</v>
      </c>
      <c r="L21" s="15">
        <f t="shared" si="11"/>
        <v>0</v>
      </c>
      <c r="M21" s="15">
        <f t="shared" si="12"/>
        <v>0</v>
      </c>
      <c r="N21" s="17">
        <f t="shared" si="13"/>
        <v>0</v>
      </c>
      <c r="O21" s="19">
        <f t="shared" si="8"/>
        <v>672.12000000000012</v>
      </c>
      <c r="P21" s="19">
        <f t="shared" si="9"/>
        <v>616.11</v>
      </c>
      <c r="Q21" s="19">
        <f t="shared" si="14"/>
        <v>597.44000000000005</v>
      </c>
      <c r="R21" s="19">
        <f t="shared" si="15"/>
        <v>597.44000000000005</v>
      </c>
      <c r="S21" s="19">
        <f t="shared" si="16"/>
        <v>672.12000000000012</v>
      </c>
    </row>
    <row r="22" spans="1:19" x14ac:dyDescent="0.2">
      <c r="A22" s="6">
        <v>10019</v>
      </c>
      <c r="B22" s="5" t="s">
        <v>83</v>
      </c>
      <c r="C22" s="5" t="s">
        <v>84</v>
      </c>
      <c r="D22" s="9">
        <v>32</v>
      </c>
      <c r="E22" s="10">
        <v>40</v>
      </c>
      <c r="F22" s="10">
        <v>41</v>
      </c>
      <c r="G22" s="10">
        <v>44</v>
      </c>
      <c r="H22" s="10">
        <v>40</v>
      </c>
      <c r="I22" s="13">
        <v>42</v>
      </c>
      <c r="J22" s="15">
        <f t="shared" si="7"/>
        <v>0</v>
      </c>
      <c r="K22" s="15">
        <f t="shared" si="10"/>
        <v>1</v>
      </c>
      <c r="L22" s="15">
        <f t="shared" si="11"/>
        <v>4</v>
      </c>
      <c r="M22" s="15">
        <f t="shared" si="12"/>
        <v>0</v>
      </c>
      <c r="N22" s="17">
        <f t="shared" si="13"/>
        <v>2</v>
      </c>
      <c r="O22" s="19">
        <f t="shared" si="8"/>
        <v>1280</v>
      </c>
      <c r="P22" s="19">
        <f t="shared" si="9"/>
        <v>1328</v>
      </c>
      <c r="Q22" s="19">
        <f t="shared" si="14"/>
        <v>1472</v>
      </c>
      <c r="R22" s="19">
        <f t="shared" si="15"/>
        <v>1280</v>
      </c>
      <c r="S22" s="19">
        <f t="shared" si="16"/>
        <v>1376</v>
      </c>
    </row>
    <row r="23" spans="1:19" x14ac:dyDescent="0.2">
      <c r="A23" s="6">
        <v>10020</v>
      </c>
      <c r="B23" s="5" t="s">
        <v>85</v>
      </c>
      <c r="C23" s="5" t="s">
        <v>86</v>
      </c>
      <c r="D23" s="9">
        <v>23.25</v>
      </c>
      <c r="E23" s="10">
        <v>25</v>
      </c>
      <c r="F23" s="10">
        <v>25</v>
      </c>
      <c r="G23" s="10">
        <v>27</v>
      </c>
      <c r="H23" s="10">
        <v>29</v>
      </c>
      <c r="I23" s="13">
        <v>30</v>
      </c>
      <c r="J23" s="15">
        <f t="shared" si="7"/>
        <v>0</v>
      </c>
      <c r="K23" s="15">
        <f t="shared" si="10"/>
        <v>0</v>
      </c>
      <c r="L23" s="15">
        <f t="shared" si="11"/>
        <v>0</v>
      </c>
      <c r="M23" s="15">
        <f t="shared" si="12"/>
        <v>0</v>
      </c>
      <c r="N23" s="17">
        <f t="shared" si="13"/>
        <v>0</v>
      </c>
      <c r="O23" s="19">
        <f t="shared" si="8"/>
        <v>581.25</v>
      </c>
      <c r="P23" s="19">
        <f t="shared" si="9"/>
        <v>581.25</v>
      </c>
      <c r="Q23" s="19">
        <f t="shared" si="14"/>
        <v>627.75</v>
      </c>
      <c r="R23" s="19">
        <f t="shared" si="15"/>
        <v>674.25</v>
      </c>
      <c r="S23" s="19">
        <f t="shared" si="16"/>
        <v>697.5</v>
      </c>
    </row>
    <row r="24" spans="1:19" x14ac:dyDescent="0.2">
      <c r="A24" s="6">
        <v>10021</v>
      </c>
      <c r="B24" s="5" t="s">
        <v>87</v>
      </c>
      <c r="C24" s="5" t="s">
        <v>88</v>
      </c>
      <c r="D24" s="9">
        <v>24.43</v>
      </c>
      <c r="E24" s="10">
        <v>40</v>
      </c>
      <c r="F24" s="10">
        <v>40</v>
      </c>
      <c r="G24" s="10">
        <v>40</v>
      </c>
      <c r="H24" s="10">
        <v>40</v>
      </c>
      <c r="I24" s="13">
        <v>40</v>
      </c>
      <c r="J24" s="15">
        <f t="shared" si="7"/>
        <v>0</v>
      </c>
      <c r="K24" s="15">
        <f t="shared" si="10"/>
        <v>0</v>
      </c>
      <c r="L24" s="15">
        <f t="shared" si="11"/>
        <v>0</v>
      </c>
      <c r="M24" s="15">
        <f t="shared" si="12"/>
        <v>0</v>
      </c>
      <c r="N24" s="17">
        <f t="shared" si="13"/>
        <v>0</v>
      </c>
      <c r="O24" s="19">
        <f t="shared" si="8"/>
        <v>977.2</v>
      </c>
      <c r="P24" s="19">
        <f t="shared" si="9"/>
        <v>977.2</v>
      </c>
      <c r="Q24" s="19">
        <f t="shared" si="14"/>
        <v>977.2</v>
      </c>
      <c r="R24" s="19">
        <f t="shared" si="15"/>
        <v>977.2</v>
      </c>
      <c r="S24" s="19">
        <f t="shared" si="16"/>
        <v>977.2</v>
      </c>
    </row>
    <row r="25" spans="1:19" x14ac:dyDescent="0.2">
      <c r="A25" s="6">
        <v>10022</v>
      </c>
      <c r="B25" s="5" t="s">
        <v>89</v>
      </c>
      <c r="C25" s="5" t="s">
        <v>90</v>
      </c>
      <c r="D25" s="9">
        <v>40.5</v>
      </c>
      <c r="E25" s="10">
        <v>45</v>
      </c>
      <c r="F25" s="10">
        <v>40</v>
      </c>
      <c r="G25" s="10">
        <v>43</v>
      </c>
      <c r="H25" s="10">
        <v>40</v>
      </c>
      <c r="I25" s="13">
        <v>40</v>
      </c>
      <c r="J25" s="15">
        <f t="shared" si="7"/>
        <v>5</v>
      </c>
      <c r="K25" s="15">
        <f t="shared" si="10"/>
        <v>0</v>
      </c>
      <c r="L25" s="15">
        <f t="shared" si="11"/>
        <v>3</v>
      </c>
      <c r="M25" s="15">
        <f t="shared" si="12"/>
        <v>0</v>
      </c>
      <c r="N25" s="17">
        <f t="shared" si="13"/>
        <v>0</v>
      </c>
      <c r="O25" s="19">
        <f t="shared" si="8"/>
        <v>1923.75</v>
      </c>
      <c r="P25" s="19">
        <f t="shared" si="9"/>
        <v>1620</v>
      </c>
      <c r="Q25" s="19">
        <f t="shared" si="14"/>
        <v>1802.25</v>
      </c>
      <c r="R25" s="19">
        <f t="shared" si="15"/>
        <v>1620</v>
      </c>
      <c r="S25" s="19">
        <f t="shared" si="16"/>
        <v>1620</v>
      </c>
    </row>
    <row r="26" spans="1:19" x14ac:dyDescent="0.2">
      <c r="A26" s="6">
        <v>10023</v>
      </c>
      <c r="B26" s="5" t="s">
        <v>91</v>
      </c>
      <c r="C26" s="5" t="s">
        <v>92</v>
      </c>
      <c r="D26" s="9">
        <v>50.52</v>
      </c>
      <c r="E26" s="10">
        <v>40</v>
      </c>
      <c r="F26" s="10">
        <v>42</v>
      </c>
      <c r="G26" s="10">
        <v>41</v>
      </c>
      <c r="H26" s="10">
        <v>42</v>
      </c>
      <c r="I26" s="13">
        <v>40</v>
      </c>
      <c r="J26" s="15">
        <f t="shared" si="7"/>
        <v>0</v>
      </c>
      <c r="K26" s="15">
        <f t="shared" si="10"/>
        <v>2</v>
      </c>
      <c r="L26" s="15">
        <f t="shared" si="11"/>
        <v>1</v>
      </c>
      <c r="M26" s="15">
        <f t="shared" si="12"/>
        <v>2</v>
      </c>
      <c r="N26" s="17">
        <f t="shared" si="13"/>
        <v>0</v>
      </c>
      <c r="O26" s="19">
        <f t="shared" si="8"/>
        <v>2020.8000000000002</v>
      </c>
      <c r="P26" s="19">
        <f t="shared" si="9"/>
        <v>2172.36</v>
      </c>
      <c r="Q26" s="19">
        <f t="shared" si="14"/>
        <v>2096.5800000000004</v>
      </c>
      <c r="R26" s="19">
        <f t="shared" si="15"/>
        <v>2172.36</v>
      </c>
      <c r="S26" s="19">
        <f t="shared" si="16"/>
        <v>2020.8000000000002</v>
      </c>
    </row>
    <row r="27" spans="1:19" x14ac:dyDescent="0.2">
      <c r="A27" s="6">
        <v>10024</v>
      </c>
      <c r="B27" s="5" t="s">
        <v>93</v>
      </c>
      <c r="C27" s="5" t="s">
        <v>94</v>
      </c>
      <c r="D27" s="9">
        <v>24.53</v>
      </c>
      <c r="E27" s="10">
        <v>30</v>
      </c>
      <c r="F27" s="10">
        <v>32</v>
      </c>
      <c r="G27" s="10">
        <v>35</v>
      </c>
      <c r="H27" s="10">
        <v>32</v>
      </c>
      <c r="I27" s="13">
        <v>33</v>
      </c>
      <c r="J27" s="15">
        <f t="shared" si="7"/>
        <v>0</v>
      </c>
      <c r="K27" s="15">
        <f t="shared" si="10"/>
        <v>0</v>
      </c>
      <c r="L27" s="15">
        <f t="shared" si="11"/>
        <v>0</v>
      </c>
      <c r="M27" s="15">
        <f t="shared" si="12"/>
        <v>0</v>
      </c>
      <c r="N27" s="17">
        <f t="shared" si="13"/>
        <v>0</v>
      </c>
      <c r="O27" s="19">
        <f t="shared" si="8"/>
        <v>735.90000000000009</v>
      </c>
      <c r="P27" s="19">
        <f t="shared" si="9"/>
        <v>784.96</v>
      </c>
      <c r="Q27" s="19">
        <f t="shared" si="14"/>
        <v>858.55000000000007</v>
      </c>
      <c r="R27" s="19">
        <f t="shared" si="15"/>
        <v>784.96</v>
      </c>
      <c r="S27" s="19">
        <f t="shared" si="16"/>
        <v>809.49</v>
      </c>
    </row>
    <row r="28" spans="1:19" x14ac:dyDescent="0.2">
      <c r="A28" s="6">
        <v>10025</v>
      </c>
      <c r="B28" s="5" t="s">
        <v>95</v>
      </c>
      <c r="C28" s="5" t="s">
        <v>96</v>
      </c>
      <c r="D28" s="9">
        <v>24.45</v>
      </c>
      <c r="E28" s="10">
        <v>45</v>
      </c>
      <c r="F28" s="10">
        <v>40</v>
      </c>
      <c r="G28" s="10">
        <v>41</v>
      </c>
      <c r="H28" s="10">
        <v>42</v>
      </c>
      <c r="I28" s="13">
        <v>40</v>
      </c>
      <c r="J28" s="15">
        <f t="shared" si="7"/>
        <v>5</v>
      </c>
      <c r="K28" s="15">
        <f t="shared" si="10"/>
        <v>0</v>
      </c>
      <c r="L28" s="15">
        <f t="shared" si="11"/>
        <v>1</v>
      </c>
      <c r="M28" s="15">
        <f t="shared" si="12"/>
        <v>2</v>
      </c>
      <c r="N28" s="17">
        <f t="shared" si="13"/>
        <v>0</v>
      </c>
      <c r="O28" s="19">
        <f t="shared" si="8"/>
        <v>1161.375</v>
      </c>
      <c r="P28" s="19">
        <f t="shared" si="9"/>
        <v>978</v>
      </c>
      <c r="Q28" s="19">
        <f t="shared" si="14"/>
        <v>1014.675</v>
      </c>
      <c r="R28" s="19">
        <f t="shared" si="15"/>
        <v>1051.3499999999999</v>
      </c>
      <c r="S28" s="19">
        <f t="shared" si="16"/>
        <v>978</v>
      </c>
    </row>
  </sheetData>
  <mergeCells count="5">
    <mergeCell ref="J2:N2"/>
    <mergeCell ref="E2:I2"/>
    <mergeCell ref="O2:S2"/>
    <mergeCell ref="A1:S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C9E7-055A-4398-92A7-7A4B94E765EF}">
  <dimension ref="A1:F27"/>
  <sheetViews>
    <sheetView workbookViewId="0">
      <selection activeCell="C31" sqref="C31"/>
    </sheetView>
  </sheetViews>
  <sheetFormatPr baseColWidth="10" defaultColWidth="8.83203125" defaultRowHeight="15" x14ac:dyDescent="0.2"/>
  <cols>
    <col min="1" max="1" width="12.33203125" bestFit="1" customWidth="1"/>
    <col min="2" max="2" width="10.33203125" bestFit="1" customWidth="1"/>
    <col min="3" max="3" width="10.5" bestFit="1" customWidth="1"/>
    <col min="4" max="4" width="12.5" bestFit="1" customWidth="1"/>
    <col min="5" max="5" width="16.5" bestFit="1" customWidth="1"/>
    <col min="6" max="6" width="25" bestFit="1" customWidth="1"/>
  </cols>
  <sheetData>
    <row r="1" spans="1:6" x14ac:dyDescent="0.2">
      <c r="A1" s="29" t="s">
        <v>40</v>
      </c>
      <c r="B1" s="29"/>
      <c r="C1" s="29"/>
      <c r="D1" s="29"/>
      <c r="E1" s="29"/>
      <c r="F1" s="29"/>
    </row>
    <row r="2" spans="1:6" x14ac:dyDescent="0.2">
      <c r="A2" s="20" t="s">
        <v>0</v>
      </c>
      <c r="B2" s="20" t="s">
        <v>44</v>
      </c>
      <c r="C2" s="20" t="s">
        <v>45</v>
      </c>
      <c r="D2" s="20" t="s">
        <v>46</v>
      </c>
      <c r="E2" s="20" t="s">
        <v>8</v>
      </c>
      <c r="F2" s="20" t="s">
        <v>9</v>
      </c>
    </row>
    <row r="3" spans="1:6" x14ac:dyDescent="0.2">
      <c r="A3" s="3">
        <v>10001</v>
      </c>
      <c r="B3" s="2" t="s">
        <v>47</v>
      </c>
      <c r="C3" s="2" t="s">
        <v>48</v>
      </c>
      <c r="D3" s="4">
        <v>30.5</v>
      </c>
      <c r="E3" s="2" t="s">
        <v>24</v>
      </c>
      <c r="F3" s="2" t="s">
        <v>32</v>
      </c>
    </row>
    <row r="4" spans="1:6" x14ac:dyDescent="0.2">
      <c r="A4" s="3">
        <v>10002</v>
      </c>
      <c r="B4" s="2" t="s">
        <v>49</v>
      </c>
      <c r="C4" s="2" t="s">
        <v>50</v>
      </c>
      <c r="D4" s="4">
        <v>23.25</v>
      </c>
      <c r="E4" s="2" t="s">
        <v>22</v>
      </c>
      <c r="F4" s="2" t="s">
        <v>22</v>
      </c>
    </row>
    <row r="5" spans="1:6" x14ac:dyDescent="0.2">
      <c r="A5" s="3">
        <v>10003</v>
      </c>
      <c r="B5" s="2" t="s">
        <v>51</v>
      </c>
      <c r="C5" s="2" t="s">
        <v>52</v>
      </c>
      <c r="D5" s="4">
        <v>15.67</v>
      </c>
      <c r="E5" s="2" t="s">
        <v>15</v>
      </c>
      <c r="F5" s="2" t="s">
        <v>16</v>
      </c>
    </row>
    <row r="6" spans="1:6" x14ac:dyDescent="0.2">
      <c r="A6" s="3">
        <v>10004</v>
      </c>
      <c r="B6" s="2" t="s">
        <v>53</v>
      </c>
      <c r="C6" s="2" t="s">
        <v>54</v>
      </c>
      <c r="D6" s="4">
        <v>40</v>
      </c>
      <c r="E6" s="2" t="s">
        <v>18</v>
      </c>
      <c r="F6" s="2" t="s">
        <v>23</v>
      </c>
    </row>
    <row r="7" spans="1:6" x14ac:dyDescent="0.2">
      <c r="A7" s="3">
        <v>10005</v>
      </c>
      <c r="B7" s="2" t="s">
        <v>55</v>
      </c>
      <c r="C7" s="2" t="s">
        <v>56</v>
      </c>
      <c r="D7" s="4">
        <v>34.36</v>
      </c>
      <c r="E7" s="2" t="s">
        <v>18</v>
      </c>
      <c r="F7" s="2" t="s">
        <v>21</v>
      </c>
    </row>
    <row r="8" spans="1:6" x14ac:dyDescent="0.2">
      <c r="A8" s="3">
        <v>10006</v>
      </c>
      <c r="B8" s="2" t="s">
        <v>57</v>
      </c>
      <c r="C8" s="2" t="s">
        <v>58</v>
      </c>
      <c r="D8" s="4">
        <v>25.5</v>
      </c>
      <c r="E8" s="2" t="s">
        <v>15</v>
      </c>
      <c r="F8" s="2" t="s">
        <v>16</v>
      </c>
    </row>
    <row r="9" spans="1:6" x14ac:dyDescent="0.2">
      <c r="A9" s="3">
        <v>10007</v>
      </c>
      <c r="B9" s="2" t="s">
        <v>59</v>
      </c>
      <c r="C9" s="2" t="s">
        <v>60</v>
      </c>
      <c r="D9" s="4">
        <v>23.75</v>
      </c>
      <c r="E9" s="2" t="s">
        <v>15</v>
      </c>
      <c r="F9" s="2" t="s">
        <v>16</v>
      </c>
    </row>
    <row r="10" spans="1:6" x14ac:dyDescent="0.2">
      <c r="A10" s="3">
        <v>10008</v>
      </c>
      <c r="B10" s="2" t="s">
        <v>61</v>
      </c>
      <c r="C10" s="2" t="s">
        <v>62</v>
      </c>
      <c r="D10" s="4">
        <v>25</v>
      </c>
      <c r="E10" s="2" t="s">
        <v>20</v>
      </c>
      <c r="F10" s="2" t="s">
        <v>28</v>
      </c>
    </row>
    <row r="11" spans="1:6" x14ac:dyDescent="0.2">
      <c r="A11" s="3">
        <v>10009</v>
      </c>
      <c r="B11" s="2" t="s">
        <v>63</v>
      </c>
      <c r="C11" s="2" t="s">
        <v>64</v>
      </c>
      <c r="D11" s="4">
        <v>28.5</v>
      </c>
      <c r="E11" s="2" t="s">
        <v>20</v>
      </c>
      <c r="F11" s="2" t="s">
        <v>28</v>
      </c>
    </row>
    <row r="12" spans="1:6" x14ac:dyDescent="0.2">
      <c r="A12" s="3">
        <v>10010</v>
      </c>
      <c r="B12" s="2" t="s">
        <v>65</v>
      </c>
      <c r="C12" s="2" t="s">
        <v>66</v>
      </c>
      <c r="D12" s="4">
        <v>19.5</v>
      </c>
      <c r="E12" s="2" t="s">
        <v>15</v>
      </c>
      <c r="F12" s="2" t="s">
        <v>16</v>
      </c>
    </row>
    <row r="13" spans="1:6" x14ac:dyDescent="0.2">
      <c r="A13" s="3">
        <v>10011</v>
      </c>
      <c r="B13" s="2" t="s">
        <v>67</v>
      </c>
      <c r="C13" s="2" t="s">
        <v>68</v>
      </c>
      <c r="D13" s="4">
        <v>15.67</v>
      </c>
      <c r="E13" s="2" t="s">
        <v>15</v>
      </c>
      <c r="F13" s="2" t="s">
        <v>16</v>
      </c>
    </row>
    <row r="14" spans="1:6" x14ac:dyDescent="0.2">
      <c r="A14" s="3">
        <v>10012</v>
      </c>
      <c r="B14" s="2" t="s">
        <v>69</v>
      </c>
      <c r="C14" s="2" t="s">
        <v>70</v>
      </c>
      <c r="D14" s="4">
        <v>42</v>
      </c>
      <c r="E14" s="2" t="s">
        <v>22</v>
      </c>
      <c r="F14" s="2" t="s">
        <v>30</v>
      </c>
    </row>
    <row r="15" spans="1:6" x14ac:dyDescent="0.2">
      <c r="A15" s="3">
        <v>10013</v>
      </c>
      <c r="B15" s="2" t="s">
        <v>71</v>
      </c>
      <c r="C15" s="2" t="s">
        <v>72</v>
      </c>
      <c r="D15" s="4">
        <v>18</v>
      </c>
      <c r="E15" s="2" t="s">
        <v>15</v>
      </c>
      <c r="F15" s="2" t="s">
        <v>16</v>
      </c>
    </row>
    <row r="16" spans="1:6" x14ac:dyDescent="0.2">
      <c r="A16" s="3">
        <v>10014</v>
      </c>
      <c r="B16" s="2" t="s">
        <v>73</v>
      </c>
      <c r="C16" s="2" t="s">
        <v>74</v>
      </c>
      <c r="D16" s="4">
        <v>19</v>
      </c>
      <c r="E16" s="2" t="s">
        <v>20</v>
      </c>
      <c r="F16" s="2" t="s">
        <v>20</v>
      </c>
    </row>
    <row r="17" spans="1:6" x14ac:dyDescent="0.2">
      <c r="A17" s="3">
        <v>10015</v>
      </c>
      <c r="B17" s="2" t="s">
        <v>75</v>
      </c>
      <c r="C17" s="2" t="s">
        <v>76</v>
      </c>
      <c r="D17" s="4">
        <v>22</v>
      </c>
      <c r="E17" s="2" t="s">
        <v>22</v>
      </c>
      <c r="F17" s="2" t="s">
        <v>22</v>
      </c>
    </row>
    <row r="18" spans="1:6" x14ac:dyDescent="0.2">
      <c r="A18" s="3">
        <v>10016</v>
      </c>
      <c r="B18" s="2" t="s">
        <v>77</v>
      </c>
      <c r="C18" s="2" t="s">
        <v>78</v>
      </c>
      <c r="D18" s="4">
        <v>22.15</v>
      </c>
      <c r="E18" s="2" t="s">
        <v>22</v>
      </c>
      <c r="F18" s="2" t="s">
        <v>22</v>
      </c>
    </row>
    <row r="19" spans="1:6" x14ac:dyDescent="0.2">
      <c r="A19" s="3">
        <v>10017</v>
      </c>
      <c r="B19" s="2" t="s">
        <v>79</v>
      </c>
      <c r="C19" s="2" t="s">
        <v>80</v>
      </c>
      <c r="D19" s="4">
        <v>19.399999999999999</v>
      </c>
      <c r="E19" s="2" t="s">
        <v>15</v>
      </c>
      <c r="F19" s="2" t="s">
        <v>16</v>
      </c>
    </row>
    <row r="20" spans="1:6" x14ac:dyDescent="0.2">
      <c r="A20" s="3">
        <v>10018</v>
      </c>
      <c r="B20" s="2" t="s">
        <v>81</v>
      </c>
      <c r="C20" s="2" t="s">
        <v>82</v>
      </c>
      <c r="D20" s="4">
        <v>18.670000000000002</v>
      </c>
      <c r="E20" s="2" t="s">
        <v>15</v>
      </c>
      <c r="F20" s="2" t="s">
        <v>16</v>
      </c>
    </row>
    <row r="21" spans="1:6" x14ac:dyDescent="0.2">
      <c r="A21" s="3">
        <v>10019</v>
      </c>
      <c r="B21" s="2" t="s">
        <v>83</v>
      </c>
      <c r="C21" s="2" t="s">
        <v>84</v>
      </c>
      <c r="D21" s="4">
        <v>32</v>
      </c>
      <c r="E21" s="2" t="s">
        <v>15</v>
      </c>
      <c r="F21" s="2" t="s">
        <v>17</v>
      </c>
    </row>
    <row r="22" spans="1:6" x14ac:dyDescent="0.2">
      <c r="A22" s="3">
        <v>10020</v>
      </c>
      <c r="B22" s="2" t="s">
        <v>85</v>
      </c>
      <c r="C22" s="2" t="s">
        <v>86</v>
      </c>
      <c r="D22" s="4">
        <v>23.25</v>
      </c>
      <c r="E22" s="2" t="s">
        <v>24</v>
      </c>
      <c r="F22" s="2" t="s">
        <v>33</v>
      </c>
    </row>
    <row r="23" spans="1:6" x14ac:dyDescent="0.2">
      <c r="A23" s="3">
        <v>10021</v>
      </c>
      <c r="B23" s="2" t="s">
        <v>87</v>
      </c>
      <c r="C23" s="2" t="s">
        <v>88</v>
      </c>
      <c r="D23" s="4">
        <v>24.43</v>
      </c>
      <c r="E23" s="2" t="s">
        <v>24</v>
      </c>
      <c r="F23" s="2" t="s">
        <v>33</v>
      </c>
    </row>
    <row r="24" spans="1:6" x14ac:dyDescent="0.2">
      <c r="A24" s="3">
        <v>10022</v>
      </c>
      <c r="B24" s="2" t="s">
        <v>89</v>
      </c>
      <c r="C24" s="2" t="s">
        <v>90</v>
      </c>
      <c r="D24" s="4">
        <v>40.5</v>
      </c>
      <c r="E24" s="2" t="s">
        <v>20</v>
      </c>
      <c r="F24" s="2" t="s">
        <v>20</v>
      </c>
    </row>
    <row r="25" spans="1:6" x14ac:dyDescent="0.2">
      <c r="A25" s="3">
        <v>10023</v>
      </c>
      <c r="B25" s="2" t="s">
        <v>91</v>
      </c>
      <c r="C25" s="2" t="s">
        <v>92</v>
      </c>
      <c r="D25" s="4">
        <v>50.52</v>
      </c>
      <c r="E25" s="2" t="s">
        <v>18</v>
      </c>
      <c r="F25" s="2" t="s">
        <v>25</v>
      </c>
    </row>
    <row r="26" spans="1:6" x14ac:dyDescent="0.2">
      <c r="A26" s="3">
        <v>10024</v>
      </c>
      <c r="B26" s="2" t="s">
        <v>93</v>
      </c>
      <c r="C26" s="2" t="s">
        <v>94</v>
      </c>
      <c r="D26" s="4">
        <v>24.53</v>
      </c>
      <c r="E26" s="2" t="s">
        <v>18</v>
      </c>
      <c r="F26" s="2" t="s">
        <v>21</v>
      </c>
    </row>
    <row r="27" spans="1:6" x14ac:dyDescent="0.2">
      <c r="A27" s="3">
        <v>10025</v>
      </c>
      <c r="B27" s="2" t="s">
        <v>95</v>
      </c>
      <c r="C27" s="2" t="s">
        <v>96</v>
      </c>
      <c r="D27" s="4">
        <v>24.45</v>
      </c>
      <c r="E27" s="2" t="s">
        <v>18</v>
      </c>
      <c r="F27" s="2" t="s">
        <v>21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1D33-C73D-4A9A-B130-FD6F0D652072}">
  <dimension ref="A1:H26"/>
  <sheetViews>
    <sheetView workbookViewId="0">
      <selection activeCell="D33" sqref="D33"/>
    </sheetView>
  </sheetViews>
  <sheetFormatPr baseColWidth="10" defaultColWidth="8.83203125" defaultRowHeight="15" x14ac:dyDescent="0.2"/>
  <cols>
    <col min="1" max="1" width="15.5" bestFit="1" customWidth="1"/>
    <col min="2" max="3" width="15.5" customWidth="1"/>
    <col min="4" max="5" width="18.5" bestFit="1" customWidth="1"/>
    <col min="6" max="8" width="19.5" bestFit="1" customWidth="1"/>
  </cols>
  <sheetData>
    <row r="1" spans="1:8" x14ac:dyDescent="0.2">
      <c r="A1" s="22" t="s">
        <v>0</v>
      </c>
      <c r="B1" s="22" t="s">
        <v>8</v>
      </c>
      <c r="C1" s="22" t="s">
        <v>9</v>
      </c>
      <c r="D1" s="22" t="s">
        <v>1</v>
      </c>
      <c r="E1" s="22" t="s">
        <v>2</v>
      </c>
      <c r="F1" s="22" t="s">
        <v>3</v>
      </c>
      <c r="G1" s="22" t="s">
        <v>4</v>
      </c>
      <c r="H1" s="22" t="s">
        <v>5</v>
      </c>
    </row>
    <row r="2" spans="1:8" x14ac:dyDescent="0.2">
      <c r="A2" s="2">
        <v>10001</v>
      </c>
      <c r="B2" s="2" t="s">
        <v>24</v>
      </c>
      <c r="C2" s="2" t="s">
        <v>32</v>
      </c>
      <c r="D2" s="4">
        <v>1220</v>
      </c>
      <c r="E2" s="4">
        <v>1265.75</v>
      </c>
      <c r="F2" s="4">
        <v>1220</v>
      </c>
      <c r="G2" s="4">
        <v>1448.75</v>
      </c>
      <c r="H2" s="4">
        <v>1311.5</v>
      </c>
    </row>
    <row r="3" spans="1:8" x14ac:dyDescent="0.2">
      <c r="A3" s="2">
        <v>10002</v>
      </c>
      <c r="B3" s="2" t="s">
        <v>22</v>
      </c>
      <c r="C3" s="2" t="s">
        <v>22</v>
      </c>
      <c r="D3" s="4">
        <v>999.75</v>
      </c>
      <c r="E3" s="4">
        <v>930</v>
      </c>
      <c r="F3" s="4">
        <v>930</v>
      </c>
      <c r="G3" s="4">
        <v>999.75</v>
      </c>
      <c r="H3" s="4">
        <v>999.75</v>
      </c>
    </row>
    <row r="4" spans="1:8" x14ac:dyDescent="0.2">
      <c r="A4" s="2">
        <v>10003</v>
      </c>
      <c r="B4" s="2" t="s">
        <v>15</v>
      </c>
      <c r="C4" s="2" t="s">
        <v>16</v>
      </c>
      <c r="D4" s="4">
        <v>626.79999999999995</v>
      </c>
      <c r="E4" s="4">
        <v>626.79999999999995</v>
      </c>
      <c r="F4" s="4">
        <v>626.79999999999995</v>
      </c>
      <c r="G4" s="4">
        <v>626.79999999999995</v>
      </c>
      <c r="H4" s="4">
        <v>626.79999999999995</v>
      </c>
    </row>
    <row r="5" spans="1:8" x14ac:dyDescent="0.2">
      <c r="A5" s="2">
        <v>10004</v>
      </c>
      <c r="B5" s="2" t="s">
        <v>18</v>
      </c>
      <c r="C5" s="2" t="s">
        <v>23</v>
      </c>
      <c r="D5" s="4">
        <v>1660</v>
      </c>
      <c r="E5" s="4">
        <v>1600</v>
      </c>
      <c r="F5" s="4">
        <v>1600</v>
      </c>
      <c r="G5" s="4">
        <v>1660</v>
      </c>
      <c r="H5" s="4">
        <v>1840</v>
      </c>
    </row>
    <row r="6" spans="1:8" x14ac:dyDescent="0.2">
      <c r="A6" s="2">
        <v>10005</v>
      </c>
      <c r="B6" s="2" t="s">
        <v>18</v>
      </c>
      <c r="C6" s="2" t="s">
        <v>21</v>
      </c>
      <c r="D6" s="4">
        <v>1632.1</v>
      </c>
      <c r="E6" s="4">
        <v>1374.4</v>
      </c>
      <c r="F6" s="4">
        <v>1632.1</v>
      </c>
      <c r="G6" s="4">
        <v>1477.48</v>
      </c>
      <c r="H6" s="4">
        <v>1425.94</v>
      </c>
    </row>
    <row r="7" spans="1:8" x14ac:dyDescent="0.2">
      <c r="A7" s="2">
        <v>10006</v>
      </c>
      <c r="B7" s="2" t="s">
        <v>15</v>
      </c>
      <c r="C7" s="2" t="s">
        <v>16</v>
      </c>
      <c r="D7" s="4">
        <v>1402.5</v>
      </c>
      <c r="E7" s="4">
        <v>1020</v>
      </c>
      <c r="F7" s="4">
        <v>1096.5</v>
      </c>
      <c r="G7" s="4">
        <v>1020</v>
      </c>
      <c r="H7" s="4">
        <v>1020</v>
      </c>
    </row>
    <row r="8" spans="1:8" x14ac:dyDescent="0.2">
      <c r="A8" s="2">
        <v>10007</v>
      </c>
      <c r="B8" s="2" t="s">
        <v>15</v>
      </c>
      <c r="C8" s="2" t="s">
        <v>16</v>
      </c>
      <c r="D8" s="4">
        <v>950</v>
      </c>
      <c r="E8" s="4">
        <v>985.625</v>
      </c>
      <c r="F8" s="4">
        <v>1270.625</v>
      </c>
      <c r="G8" s="4">
        <v>1056.875</v>
      </c>
      <c r="H8" s="4">
        <v>950</v>
      </c>
    </row>
    <row r="9" spans="1:8" x14ac:dyDescent="0.2">
      <c r="A9" s="2">
        <v>10008</v>
      </c>
      <c r="B9" s="2" t="s">
        <v>20</v>
      </c>
      <c r="C9" s="2" t="s">
        <v>28</v>
      </c>
      <c r="D9" s="4">
        <v>750</v>
      </c>
      <c r="E9" s="4">
        <v>800</v>
      </c>
      <c r="F9" s="4">
        <v>875</v>
      </c>
      <c r="G9" s="4">
        <v>800</v>
      </c>
      <c r="H9" s="4">
        <v>825</v>
      </c>
    </row>
    <row r="10" spans="1:8" x14ac:dyDescent="0.2">
      <c r="A10" s="2">
        <v>10009</v>
      </c>
      <c r="B10" s="2" t="s">
        <v>20</v>
      </c>
      <c r="C10" s="2" t="s">
        <v>28</v>
      </c>
      <c r="D10" s="4">
        <v>1353.75</v>
      </c>
      <c r="E10" s="4">
        <v>1140</v>
      </c>
      <c r="F10" s="4">
        <v>1182.75</v>
      </c>
      <c r="G10" s="4">
        <v>1225.5</v>
      </c>
      <c r="H10" s="4">
        <v>1140</v>
      </c>
    </row>
    <row r="11" spans="1:8" x14ac:dyDescent="0.2">
      <c r="A11" s="2">
        <v>10010</v>
      </c>
      <c r="B11" s="2" t="s">
        <v>15</v>
      </c>
      <c r="C11" s="2" t="s">
        <v>16</v>
      </c>
      <c r="D11" s="4">
        <v>585</v>
      </c>
      <c r="E11" s="4">
        <v>487.5</v>
      </c>
      <c r="F11" s="4">
        <v>526.5</v>
      </c>
      <c r="G11" s="4">
        <v>565.5</v>
      </c>
      <c r="H11" s="4">
        <v>585</v>
      </c>
    </row>
    <row r="12" spans="1:8" x14ac:dyDescent="0.2">
      <c r="A12" s="2">
        <v>10011</v>
      </c>
      <c r="B12" s="2" t="s">
        <v>15</v>
      </c>
      <c r="C12" s="2" t="s">
        <v>16</v>
      </c>
      <c r="D12" s="4">
        <v>329.07</v>
      </c>
      <c r="E12" s="4">
        <v>391.75</v>
      </c>
      <c r="F12" s="4">
        <v>376.08</v>
      </c>
      <c r="G12" s="4">
        <v>313.39999999999998</v>
      </c>
      <c r="H12" s="4">
        <v>329.07</v>
      </c>
    </row>
    <row r="13" spans="1:8" x14ac:dyDescent="0.2">
      <c r="A13" s="2">
        <v>10012</v>
      </c>
      <c r="B13" s="2" t="s">
        <v>22</v>
      </c>
      <c r="C13" s="2" t="s">
        <v>30</v>
      </c>
      <c r="D13" s="4">
        <v>1470</v>
      </c>
      <c r="E13" s="4">
        <v>1596</v>
      </c>
      <c r="F13" s="4">
        <v>1470</v>
      </c>
      <c r="G13" s="4">
        <v>1512</v>
      </c>
      <c r="H13" s="4">
        <v>1386</v>
      </c>
    </row>
    <row r="14" spans="1:8" x14ac:dyDescent="0.2">
      <c r="A14" s="2">
        <v>10013</v>
      </c>
      <c r="B14" s="2" t="s">
        <v>15</v>
      </c>
      <c r="C14" s="2" t="s">
        <v>16</v>
      </c>
      <c r="D14" s="4">
        <v>720</v>
      </c>
      <c r="E14" s="4">
        <v>720</v>
      </c>
      <c r="F14" s="4">
        <v>720</v>
      </c>
      <c r="G14" s="4">
        <v>720</v>
      </c>
      <c r="H14" s="4">
        <v>720</v>
      </c>
    </row>
    <row r="15" spans="1:8" x14ac:dyDescent="0.2">
      <c r="A15" s="2">
        <v>10014</v>
      </c>
      <c r="B15" s="2" t="s">
        <v>20</v>
      </c>
      <c r="C15" s="2" t="s">
        <v>20</v>
      </c>
      <c r="D15" s="4">
        <v>902.5</v>
      </c>
      <c r="E15" s="4">
        <v>760</v>
      </c>
      <c r="F15" s="4">
        <v>845.5</v>
      </c>
      <c r="G15" s="4">
        <v>760</v>
      </c>
      <c r="H15" s="4">
        <v>760</v>
      </c>
    </row>
    <row r="16" spans="1:8" x14ac:dyDescent="0.2">
      <c r="A16" s="2">
        <v>10015</v>
      </c>
      <c r="B16" s="2" t="s">
        <v>22</v>
      </c>
      <c r="C16" s="2" t="s">
        <v>22</v>
      </c>
      <c r="D16" s="4">
        <v>880</v>
      </c>
      <c r="E16" s="4">
        <v>946</v>
      </c>
      <c r="F16" s="4">
        <v>913</v>
      </c>
      <c r="G16" s="4">
        <v>946</v>
      </c>
      <c r="H16" s="4">
        <v>880</v>
      </c>
    </row>
    <row r="17" spans="1:8" x14ac:dyDescent="0.2">
      <c r="A17" s="2">
        <v>10016</v>
      </c>
      <c r="B17" s="2" t="s">
        <v>22</v>
      </c>
      <c r="C17" s="2" t="s">
        <v>22</v>
      </c>
      <c r="D17" s="4">
        <v>886</v>
      </c>
      <c r="E17" s="4">
        <v>886</v>
      </c>
      <c r="F17" s="4">
        <v>886</v>
      </c>
      <c r="G17" s="4">
        <v>952.45</v>
      </c>
      <c r="H17" s="4">
        <v>1018.9</v>
      </c>
    </row>
    <row r="18" spans="1:8" x14ac:dyDescent="0.2">
      <c r="A18" s="2">
        <v>10017</v>
      </c>
      <c r="B18" s="2" t="s">
        <v>15</v>
      </c>
      <c r="C18" s="2" t="s">
        <v>16</v>
      </c>
      <c r="D18" s="4">
        <v>659.6</v>
      </c>
      <c r="E18" s="4">
        <v>582</v>
      </c>
      <c r="F18" s="4">
        <v>601.4</v>
      </c>
      <c r="G18" s="4">
        <v>640.20000000000005</v>
      </c>
      <c r="H18" s="4">
        <v>620.79999999999995</v>
      </c>
    </row>
    <row r="19" spans="1:8" x14ac:dyDescent="0.2">
      <c r="A19" s="2">
        <v>10018</v>
      </c>
      <c r="B19" s="2" t="s">
        <v>15</v>
      </c>
      <c r="C19" s="2" t="s">
        <v>16</v>
      </c>
      <c r="D19" s="4">
        <v>672.12</v>
      </c>
      <c r="E19" s="4">
        <v>616.11</v>
      </c>
      <c r="F19" s="4">
        <v>597.44000000000005</v>
      </c>
      <c r="G19" s="4">
        <v>597.44000000000005</v>
      </c>
      <c r="H19" s="4">
        <v>672.12</v>
      </c>
    </row>
    <row r="20" spans="1:8" x14ac:dyDescent="0.2">
      <c r="A20" s="2">
        <v>10019</v>
      </c>
      <c r="B20" s="2" t="s">
        <v>15</v>
      </c>
      <c r="C20" s="2" t="s">
        <v>17</v>
      </c>
      <c r="D20" s="4">
        <v>1280</v>
      </c>
      <c r="E20" s="4">
        <v>1328</v>
      </c>
      <c r="F20" s="4">
        <v>1472</v>
      </c>
      <c r="G20" s="4">
        <v>1280</v>
      </c>
      <c r="H20" s="4">
        <v>1376</v>
      </c>
    </row>
    <row r="21" spans="1:8" x14ac:dyDescent="0.2">
      <c r="A21" s="2">
        <v>10020</v>
      </c>
      <c r="B21" s="2" t="s">
        <v>24</v>
      </c>
      <c r="C21" s="2" t="s">
        <v>33</v>
      </c>
      <c r="D21" s="4">
        <v>581.25</v>
      </c>
      <c r="E21" s="4">
        <v>581.25</v>
      </c>
      <c r="F21" s="4">
        <v>627.75</v>
      </c>
      <c r="G21" s="4">
        <v>674.25</v>
      </c>
      <c r="H21" s="4">
        <v>697.5</v>
      </c>
    </row>
    <row r="22" spans="1:8" x14ac:dyDescent="0.2">
      <c r="A22" s="2">
        <v>10021</v>
      </c>
      <c r="B22" s="2" t="s">
        <v>24</v>
      </c>
      <c r="C22" s="2" t="s">
        <v>33</v>
      </c>
      <c r="D22" s="4">
        <v>977.2</v>
      </c>
      <c r="E22" s="4">
        <v>977.2</v>
      </c>
      <c r="F22" s="4">
        <v>977.2</v>
      </c>
      <c r="G22" s="4">
        <v>977.2</v>
      </c>
      <c r="H22" s="4">
        <v>977.2</v>
      </c>
    </row>
    <row r="23" spans="1:8" x14ac:dyDescent="0.2">
      <c r="A23" s="2">
        <v>10022</v>
      </c>
      <c r="B23" s="2" t="s">
        <v>20</v>
      </c>
      <c r="C23" s="2" t="s">
        <v>20</v>
      </c>
      <c r="D23" s="4">
        <v>1923.75</v>
      </c>
      <c r="E23" s="4">
        <v>1620</v>
      </c>
      <c r="F23" s="4">
        <v>1802.25</v>
      </c>
      <c r="G23" s="4">
        <v>1620</v>
      </c>
      <c r="H23" s="4">
        <v>1620</v>
      </c>
    </row>
    <row r="24" spans="1:8" x14ac:dyDescent="0.2">
      <c r="A24" s="2">
        <v>10023</v>
      </c>
      <c r="B24" s="2" t="s">
        <v>18</v>
      </c>
      <c r="C24" s="2" t="s">
        <v>25</v>
      </c>
      <c r="D24" s="4">
        <v>2020.8</v>
      </c>
      <c r="E24" s="4">
        <v>2172.36</v>
      </c>
      <c r="F24" s="4">
        <v>2096.58</v>
      </c>
      <c r="G24" s="4">
        <v>2172.36</v>
      </c>
      <c r="H24" s="4">
        <v>2020.8</v>
      </c>
    </row>
    <row r="25" spans="1:8" x14ac:dyDescent="0.2">
      <c r="A25" s="2">
        <v>10024</v>
      </c>
      <c r="B25" s="2" t="s">
        <v>18</v>
      </c>
      <c r="C25" s="2" t="s">
        <v>21</v>
      </c>
      <c r="D25" s="4">
        <v>735.9</v>
      </c>
      <c r="E25" s="4">
        <v>784.96</v>
      </c>
      <c r="F25" s="4">
        <v>858.55</v>
      </c>
      <c r="G25" s="4">
        <v>784.96</v>
      </c>
      <c r="H25" s="4">
        <v>809.49</v>
      </c>
    </row>
    <row r="26" spans="1:8" x14ac:dyDescent="0.2">
      <c r="A26" s="2">
        <v>10025</v>
      </c>
      <c r="B26" s="2" t="s">
        <v>18</v>
      </c>
      <c r="C26" s="2" t="s">
        <v>21</v>
      </c>
      <c r="D26" s="4">
        <v>1161.375</v>
      </c>
      <c r="E26" s="4">
        <v>978</v>
      </c>
      <c r="F26" s="4">
        <v>1014.675</v>
      </c>
      <c r="G26" s="4">
        <v>1051.3499999999999</v>
      </c>
      <c r="H26" s="4">
        <v>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253F-9096-4E11-8EA7-B8A9A6F03207}">
  <dimension ref="A1:F33"/>
  <sheetViews>
    <sheetView workbookViewId="0">
      <selection activeCell="D39" sqref="D39"/>
    </sheetView>
  </sheetViews>
  <sheetFormatPr baseColWidth="10" defaultColWidth="8.83203125" defaultRowHeight="15" x14ac:dyDescent="0.2"/>
  <cols>
    <col min="1" max="1" width="15.5" bestFit="1" customWidth="1"/>
    <col min="2" max="3" width="18.5" bestFit="1" customWidth="1"/>
    <col min="4" max="7" width="19.5" bestFit="1" customWidth="1"/>
  </cols>
  <sheetData>
    <row r="1" spans="1:6" x14ac:dyDescent="0.2">
      <c r="A1" s="2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10001</v>
      </c>
      <c r="B2" s="1">
        <v>1220</v>
      </c>
      <c r="C2" s="1">
        <v>1265.75</v>
      </c>
      <c r="D2" s="1">
        <v>1220</v>
      </c>
      <c r="E2" s="1">
        <v>1448.75</v>
      </c>
      <c r="F2" s="1">
        <v>1311.5</v>
      </c>
    </row>
    <row r="3" spans="1:6" x14ac:dyDescent="0.2">
      <c r="A3">
        <v>10002</v>
      </c>
      <c r="B3" s="1">
        <v>999.75</v>
      </c>
      <c r="C3" s="1">
        <v>930</v>
      </c>
      <c r="D3" s="1">
        <v>930</v>
      </c>
      <c r="E3" s="1">
        <v>999.75</v>
      </c>
      <c r="F3" s="1">
        <v>999.75</v>
      </c>
    </row>
    <row r="4" spans="1:6" x14ac:dyDescent="0.2">
      <c r="A4">
        <v>10003</v>
      </c>
      <c r="B4" s="1">
        <v>626.79999999999995</v>
      </c>
      <c r="C4" s="1">
        <v>626.79999999999995</v>
      </c>
      <c r="D4" s="1">
        <v>626.79999999999995</v>
      </c>
      <c r="E4" s="1">
        <v>626.79999999999995</v>
      </c>
      <c r="F4" s="1">
        <v>626.79999999999995</v>
      </c>
    </row>
    <row r="5" spans="1:6" x14ac:dyDescent="0.2">
      <c r="A5">
        <v>10004</v>
      </c>
      <c r="B5" s="1">
        <v>1660</v>
      </c>
      <c r="C5" s="1">
        <v>1600</v>
      </c>
      <c r="D5" s="1">
        <v>1600</v>
      </c>
      <c r="E5" s="1">
        <v>1660</v>
      </c>
      <c r="F5" s="1">
        <v>1840</v>
      </c>
    </row>
    <row r="6" spans="1:6" x14ac:dyDescent="0.2">
      <c r="A6">
        <v>10005</v>
      </c>
      <c r="B6" s="1">
        <v>1632.1</v>
      </c>
      <c r="C6" s="1">
        <v>1374.4</v>
      </c>
      <c r="D6" s="1">
        <v>1632.1</v>
      </c>
      <c r="E6" s="1">
        <v>1477.48</v>
      </c>
      <c r="F6" s="1">
        <v>1425.94</v>
      </c>
    </row>
    <row r="7" spans="1:6" x14ac:dyDescent="0.2">
      <c r="A7">
        <v>10006</v>
      </c>
      <c r="B7" s="1">
        <v>1402.5</v>
      </c>
      <c r="C7" s="1">
        <v>1020</v>
      </c>
      <c r="D7" s="1">
        <v>1096.5</v>
      </c>
      <c r="E7" s="1">
        <v>1020</v>
      </c>
      <c r="F7" s="1">
        <v>1020</v>
      </c>
    </row>
    <row r="8" spans="1:6" x14ac:dyDescent="0.2">
      <c r="A8">
        <v>10007</v>
      </c>
      <c r="B8" s="1">
        <v>950</v>
      </c>
      <c r="C8" s="1">
        <v>985.625</v>
      </c>
      <c r="D8" s="1">
        <v>1270.625</v>
      </c>
      <c r="E8" s="1">
        <v>1056.875</v>
      </c>
      <c r="F8" s="1">
        <v>950</v>
      </c>
    </row>
    <row r="9" spans="1:6" x14ac:dyDescent="0.2">
      <c r="A9">
        <v>10008</v>
      </c>
      <c r="B9" s="1">
        <v>750</v>
      </c>
      <c r="C9" s="1">
        <v>800</v>
      </c>
      <c r="D9" s="1">
        <v>875</v>
      </c>
      <c r="E9" s="1">
        <v>800</v>
      </c>
      <c r="F9" s="1">
        <v>825</v>
      </c>
    </row>
    <row r="10" spans="1:6" x14ac:dyDescent="0.2">
      <c r="A10">
        <v>10009</v>
      </c>
      <c r="B10" s="1">
        <v>1353.75</v>
      </c>
      <c r="C10" s="1">
        <v>1140</v>
      </c>
      <c r="D10" s="1">
        <v>1182.75</v>
      </c>
      <c r="E10" s="1">
        <v>1225.5</v>
      </c>
      <c r="F10" s="1">
        <v>1140</v>
      </c>
    </row>
    <row r="11" spans="1:6" x14ac:dyDescent="0.2">
      <c r="A11">
        <v>10010</v>
      </c>
      <c r="B11" s="1">
        <v>585</v>
      </c>
      <c r="C11" s="1">
        <v>487.5</v>
      </c>
      <c r="D11" s="1">
        <v>526.5</v>
      </c>
      <c r="E11" s="1">
        <v>565.5</v>
      </c>
      <c r="F11" s="1">
        <v>585</v>
      </c>
    </row>
    <row r="12" spans="1:6" x14ac:dyDescent="0.2">
      <c r="A12">
        <v>10011</v>
      </c>
      <c r="B12" s="1">
        <v>329.07</v>
      </c>
      <c r="C12" s="1">
        <v>391.75</v>
      </c>
      <c r="D12" s="1">
        <v>376.08</v>
      </c>
      <c r="E12" s="1">
        <v>313.39999999999998</v>
      </c>
      <c r="F12" s="1">
        <v>329.07</v>
      </c>
    </row>
    <row r="13" spans="1:6" x14ac:dyDescent="0.2">
      <c r="A13">
        <v>10012</v>
      </c>
      <c r="B13" s="1">
        <v>1470</v>
      </c>
      <c r="C13" s="1">
        <v>1596</v>
      </c>
      <c r="D13" s="1">
        <v>1470</v>
      </c>
      <c r="E13" s="1">
        <v>1512</v>
      </c>
      <c r="F13" s="1">
        <v>1386</v>
      </c>
    </row>
    <row r="14" spans="1:6" x14ac:dyDescent="0.2">
      <c r="A14">
        <v>10013</v>
      </c>
      <c r="B14" s="1">
        <v>720</v>
      </c>
      <c r="C14" s="1">
        <v>720</v>
      </c>
      <c r="D14" s="1">
        <v>720</v>
      </c>
      <c r="E14" s="1">
        <v>720</v>
      </c>
      <c r="F14" s="1">
        <v>720</v>
      </c>
    </row>
    <row r="15" spans="1:6" x14ac:dyDescent="0.2">
      <c r="A15">
        <v>10014</v>
      </c>
      <c r="B15" s="1">
        <v>902.5</v>
      </c>
      <c r="C15" s="1">
        <v>760</v>
      </c>
      <c r="D15" s="1">
        <v>845.5</v>
      </c>
      <c r="E15" s="1">
        <v>760</v>
      </c>
      <c r="F15" s="1">
        <v>760</v>
      </c>
    </row>
    <row r="16" spans="1:6" x14ac:dyDescent="0.2">
      <c r="A16">
        <v>10015</v>
      </c>
      <c r="B16" s="1">
        <v>880</v>
      </c>
      <c r="C16" s="1">
        <v>946</v>
      </c>
      <c r="D16" s="1">
        <v>913</v>
      </c>
      <c r="E16" s="1">
        <v>946</v>
      </c>
      <c r="F16" s="1">
        <v>880</v>
      </c>
    </row>
    <row r="17" spans="1:6" x14ac:dyDescent="0.2">
      <c r="A17">
        <v>10016</v>
      </c>
      <c r="B17" s="1">
        <v>886</v>
      </c>
      <c r="C17" s="1">
        <v>886</v>
      </c>
      <c r="D17" s="1">
        <v>886</v>
      </c>
      <c r="E17" s="1">
        <v>952.45</v>
      </c>
      <c r="F17" s="1">
        <v>1018.9</v>
      </c>
    </row>
    <row r="18" spans="1:6" x14ac:dyDescent="0.2">
      <c r="A18">
        <v>10017</v>
      </c>
      <c r="B18" s="1">
        <v>659.6</v>
      </c>
      <c r="C18" s="1">
        <v>582</v>
      </c>
      <c r="D18" s="1">
        <v>601.4</v>
      </c>
      <c r="E18" s="1">
        <v>640.20000000000005</v>
      </c>
      <c r="F18" s="1">
        <v>620.79999999999995</v>
      </c>
    </row>
    <row r="19" spans="1:6" x14ac:dyDescent="0.2">
      <c r="A19">
        <v>10018</v>
      </c>
      <c r="B19" s="1">
        <v>672.12</v>
      </c>
      <c r="C19" s="1">
        <v>616.11</v>
      </c>
      <c r="D19" s="1">
        <v>597.44000000000005</v>
      </c>
      <c r="E19" s="1">
        <v>597.44000000000005</v>
      </c>
      <c r="F19" s="1">
        <v>672.12</v>
      </c>
    </row>
    <row r="20" spans="1:6" x14ac:dyDescent="0.2">
      <c r="A20">
        <v>10019</v>
      </c>
      <c r="B20" s="1">
        <v>1280</v>
      </c>
      <c r="C20" s="1">
        <v>1328</v>
      </c>
      <c r="D20" s="1">
        <v>1472</v>
      </c>
      <c r="E20" s="1">
        <v>1280</v>
      </c>
      <c r="F20" s="1">
        <v>1376</v>
      </c>
    </row>
    <row r="21" spans="1:6" x14ac:dyDescent="0.2">
      <c r="A21">
        <v>10020</v>
      </c>
      <c r="B21" s="1">
        <v>581.25</v>
      </c>
      <c r="C21" s="1">
        <v>581.25</v>
      </c>
      <c r="D21" s="1">
        <v>627.75</v>
      </c>
      <c r="E21" s="1">
        <v>674.25</v>
      </c>
      <c r="F21" s="1">
        <v>697.5</v>
      </c>
    </row>
    <row r="22" spans="1:6" x14ac:dyDescent="0.2">
      <c r="A22">
        <v>10021</v>
      </c>
      <c r="B22" s="1">
        <v>977.2</v>
      </c>
      <c r="C22" s="1">
        <v>977.2</v>
      </c>
      <c r="D22" s="1">
        <v>977.2</v>
      </c>
      <c r="E22" s="1">
        <v>977.2</v>
      </c>
      <c r="F22" s="1">
        <v>977.2</v>
      </c>
    </row>
    <row r="23" spans="1:6" x14ac:dyDescent="0.2">
      <c r="A23">
        <v>10022</v>
      </c>
      <c r="B23" s="1">
        <v>1923.75</v>
      </c>
      <c r="C23" s="1">
        <v>1620</v>
      </c>
      <c r="D23" s="1">
        <v>1802.25</v>
      </c>
      <c r="E23" s="1">
        <v>1620</v>
      </c>
      <c r="F23" s="1">
        <v>1620</v>
      </c>
    </row>
    <row r="24" spans="1:6" x14ac:dyDescent="0.2">
      <c r="A24">
        <v>10023</v>
      </c>
      <c r="B24" s="1">
        <v>2020.8</v>
      </c>
      <c r="C24" s="1">
        <v>2172.36</v>
      </c>
      <c r="D24" s="1">
        <v>2096.58</v>
      </c>
      <c r="E24" s="1">
        <v>2172.36</v>
      </c>
      <c r="F24" s="1">
        <v>2020.8</v>
      </c>
    </row>
    <row r="25" spans="1:6" x14ac:dyDescent="0.2">
      <c r="A25">
        <v>10024</v>
      </c>
      <c r="B25" s="1">
        <v>735.9</v>
      </c>
      <c r="C25" s="1">
        <v>784.96</v>
      </c>
      <c r="D25" s="1">
        <v>858.55</v>
      </c>
      <c r="E25" s="1">
        <v>784.96</v>
      </c>
      <c r="F25" s="1">
        <v>809.49</v>
      </c>
    </row>
    <row r="26" spans="1:6" x14ac:dyDescent="0.2">
      <c r="A26">
        <v>10025</v>
      </c>
      <c r="B26" s="1">
        <v>1161.375</v>
      </c>
      <c r="C26" s="1">
        <v>978</v>
      </c>
      <c r="D26" s="1">
        <v>1014.675</v>
      </c>
      <c r="E26" s="1">
        <v>1051.3499999999999</v>
      </c>
      <c r="F26" s="1">
        <v>978</v>
      </c>
    </row>
    <row r="27" spans="1:6" x14ac:dyDescent="0.2">
      <c r="A27" t="s">
        <v>26</v>
      </c>
      <c r="B27" s="1">
        <v>26379.465</v>
      </c>
      <c r="C27" s="1">
        <v>25169.705000000002</v>
      </c>
      <c r="D27" s="1">
        <v>26218.699999999997</v>
      </c>
      <c r="E27" s="1">
        <v>25882.264999999999</v>
      </c>
      <c r="F27" s="1">
        <v>25589.87</v>
      </c>
    </row>
    <row r="29" spans="1:6" x14ac:dyDescent="0.2">
      <c r="A29" t="s">
        <v>35</v>
      </c>
      <c r="B29" s="1">
        <f>AVERAGE(B2:B26)</f>
        <v>1055.1786</v>
      </c>
      <c r="C29" s="1">
        <f t="shared" ref="C29:F29" si="0">AVERAGE(C2:C26)</f>
        <v>1006.7882000000001</v>
      </c>
      <c r="D29" s="1">
        <f t="shared" si="0"/>
        <v>1048.7479999999998</v>
      </c>
      <c r="E29" s="1">
        <f t="shared" si="0"/>
        <v>1035.2906</v>
      </c>
      <c r="F29" s="1">
        <f t="shared" si="0"/>
        <v>1023.5948</v>
      </c>
    </row>
    <row r="30" spans="1:6" x14ac:dyDescent="0.2">
      <c r="A30" t="s">
        <v>36</v>
      </c>
      <c r="B30" s="1">
        <f>MAX(B2:B26)</f>
        <v>2020.8</v>
      </c>
      <c r="C30" s="1">
        <f t="shared" ref="C30:F30" si="1">MAX(C2:C26)</f>
        <v>2172.36</v>
      </c>
      <c r="D30" s="1">
        <f t="shared" si="1"/>
        <v>2096.58</v>
      </c>
      <c r="E30" s="1">
        <f t="shared" si="1"/>
        <v>2172.36</v>
      </c>
      <c r="F30" s="1">
        <f t="shared" si="1"/>
        <v>2020.8</v>
      </c>
    </row>
    <row r="31" spans="1:6" x14ac:dyDescent="0.2">
      <c r="A31" t="s">
        <v>37</v>
      </c>
      <c r="B31" s="1">
        <f>MIN(B2:B26)</f>
        <v>329.07</v>
      </c>
      <c r="C31" s="1">
        <f t="shared" ref="C31:F31" si="2">MIN(C2:C26)</f>
        <v>391.75</v>
      </c>
      <c r="D31" s="1">
        <f t="shared" si="2"/>
        <v>376.08</v>
      </c>
      <c r="E31" s="1">
        <f t="shared" si="2"/>
        <v>313.39999999999998</v>
      </c>
      <c r="F31" s="1">
        <f t="shared" si="2"/>
        <v>329.07</v>
      </c>
    </row>
    <row r="33" spans="1:2" x14ac:dyDescent="0.2">
      <c r="A33" t="s">
        <v>38</v>
      </c>
      <c r="B33" s="1">
        <f>SUM(B27:F27)</f>
        <v>129240.00499999999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B69B-6466-4A0E-B083-11FBEFBF6A48}">
  <dimension ref="A1:G19"/>
  <sheetViews>
    <sheetView workbookViewId="0">
      <selection activeCell="F36" sqref="F36"/>
    </sheetView>
  </sheetViews>
  <sheetFormatPr baseColWidth="10" defaultColWidth="8.83203125" defaultRowHeight="15" x14ac:dyDescent="0.2"/>
  <cols>
    <col min="1" max="1" width="16.5" bestFit="1" customWidth="1"/>
    <col min="2" max="2" width="25" bestFit="1" customWidth="1"/>
    <col min="3" max="4" width="25.1640625" bestFit="1" customWidth="1"/>
    <col min="5" max="7" width="26.33203125" bestFit="1" customWidth="1"/>
  </cols>
  <sheetData>
    <row r="1" spans="1:7" x14ac:dyDescent="0.2">
      <c r="A1" s="23" t="s">
        <v>6</v>
      </c>
      <c r="B1" s="23"/>
      <c r="C1" s="23"/>
      <c r="D1" s="23"/>
      <c r="E1" s="23"/>
      <c r="F1" s="23"/>
      <c r="G1" s="23"/>
    </row>
    <row r="2" spans="1:7" x14ac:dyDescent="0.2">
      <c r="A2" s="21" t="s">
        <v>8</v>
      </c>
      <c r="B2" s="2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2">
      <c r="A3" t="s">
        <v>15</v>
      </c>
      <c r="B3" t="s">
        <v>16</v>
      </c>
      <c r="C3" s="1">
        <v>5945.0900000000011</v>
      </c>
      <c r="D3" s="1">
        <v>5429.7849999999999</v>
      </c>
      <c r="E3" s="1">
        <v>5815.3449999999993</v>
      </c>
      <c r="F3" s="1">
        <v>5540.2150000000001</v>
      </c>
      <c r="G3" s="1">
        <v>5523.7900000000009</v>
      </c>
    </row>
    <row r="4" spans="1:7" x14ac:dyDescent="0.2">
      <c r="B4" t="s">
        <v>17</v>
      </c>
      <c r="C4" s="1">
        <v>1280</v>
      </c>
      <c r="D4" s="1">
        <v>1328</v>
      </c>
      <c r="E4" s="1">
        <v>1472</v>
      </c>
      <c r="F4" s="1">
        <v>1280</v>
      </c>
      <c r="G4" s="1">
        <v>1376</v>
      </c>
    </row>
    <row r="5" spans="1:7" x14ac:dyDescent="0.2">
      <c r="A5" t="s">
        <v>19</v>
      </c>
      <c r="C5" s="1">
        <v>7225.0900000000011</v>
      </c>
      <c r="D5" s="1">
        <v>6757.7849999999999</v>
      </c>
      <c r="E5" s="1">
        <v>7287.3449999999993</v>
      </c>
      <c r="F5" s="1">
        <v>6820.2150000000001</v>
      </c>
      <c r="G5" s="1">
        <v>6899.7900000000009</v>
      </c>
    </row>
    <row r="6" spans="1:7" x14ac:dyDescent="0.2">
      <c r="A6" t="s">
        <v>18</v>
      </c>
      <c r="B6" t="s">
        <v>21</v>
      </c>
      <c r="C6" s="1">
        <v>3529.375</v>
      </c>
      <c r="D6" s="1">
        <v>3137.36</v>
      </c>
      <c r="E6" s="1">
        <v>3505.3249999999998</v>
      </c>
      <c r="F6" s="1">
        <v>3313.79</v>
      </c>
      <c r="G6" s="1">
        <v>3213.4300000000003</v>
      </c>
    </row>
    <row r="7" spans="1:7" x14ac:dyDescent="0.2">
      <c r="B7" t="s">
        <v>23</v>
      </c>
      <c r="C7" s="1">
        <v>1660</v>
      </c>
      <c r="D7" s="1">
        <v>1600</v>
      </c>
      <c r="E7" s="1">
        <v>1600</v>
      </c>
      <c r="F7" s="1">
        <v>1660</v>
      </c>
      <c r="G7" s="1">
        <v>1840</v>
      </c>
    </row>
    <row r="8" spans="1:7" x14ac:dyDescent="0.2">
      <c r="B8" t="s">
        <v>25</v>
      </c>
      <c r="C8" s="1">
        <v>2020.8</v>
      </c>
      <c r="D8" s="1">
        <v>2172.36</v>
      </c>
      <c r="E8" s="1">
        <v>2096.58</v>
      </c>
      <c r="F8" s="1">
        <v>2172.36</v>
      </c>
      <c r="G8" s="1">
        <v>2020.8</v>
      </c>
    </row>
    <row r="9" spans="1:7" x14ac:dyDescent="0.2">
      <c r="A9" t="s">
        <v>27</v>
      </c>
      <c r="C9" s="1">
        <v>7210.1750000000002</v>
      </c>
      <c r="D9" s="1">
        <v>6909.7200000000012</v>
      </c>
      <c r="E9" s="1">
        <v>7201.9049999999997</v>
      </c>
      <c r="F9" s="1">
        <v>7146.15</v>
      </c>
      <c r="G9" s="1">
        <v>7074.2300000000005</v>
      </c>
    </row>
    <row r="10" spans="1:7" x14ac:dyDescent="0.2">
      <c r="A10" t="s">
        <v>20</v>
      </c>
      <c r="B10" t="s">
        <v>20</v>
      </c>
      <c r="C10" s="1">
        <v>2826.25</v>
      </c>
      <c r="D10" s="1">
        <v>2380</v>
      </c>
      <c r="E10" s="1">
        <v>2647.75</v>
      </c>
      <c r="F10" s="1">
        <v>2380</v>
      </c>
      <c r="G10" s="1">
        <v>2380</v>
      </c>
    </row>
    <row r="11" spans="1:7" x14ac:dyDescent="0.2">
      <c r="B11" t="s">
        <v>28</v>
      </c>
      <c r="C11" s="1">
        <v>2103.75</v>
      </c>
      <c r="D11" s="1">
        <v>1940</v>
      </c>
      <c r="E11" s="1">
        <v>2057.75</v>
      </c>
      <c r="F11" s="1">
        <v>2025.5</v>
      </c>
      <c r="G11" s="1">
        <v>1965</v>
      </c>
    </row>
    <row r="12" spans="1:7" x14ac:dyDescent="0.2">
      <c r="A12" t="s">
        <v>29</v>
      </c>
      <c r="C12" s="1">
        <v>4930</v>
      </c>
      <c r="D12" s="1">
        <v>4320</v>
      </c>
      <c r="E12" s="1">
        <v>4705.5</v>
      </c>
      <c r="F12" s="1">
        <v>4405.5</v>
      </c>
      <c r="G12" s="1">
        <v>4345</v>
      </c>
    </row>
    <row r="13" spans="1:7" x14ac:dyDescent="0.2">
      <c r="A13" t="s">
        <v>22</v>
      </c>
      <c r="B13" t="s">
        <v>22</v>
      </c>
      <c r="C13" s="1">
        <v>2765.75</v>
      </c>
      <c r="D13" s="1">
        <v>2762</v>
      </c>
      <c r="E13" s="1">
        <v>2729</v>
      </c>
      <c r="F13" s="1">
        <v>2898.2</v>
      </c>
      <c r="G13" s="1">
        <v>2898.65</v>
      </c>
    </row>
    <row r="14" spans="1:7" x14ac:dyDescent="0.2">
      <c r="B14" t="s">
        <v>30</v>
      </c>
      <c r="C14" s="1">
        <v>1470</v>
      </c>
      <c r="D14" s="1">
        <v>1596</v>
      </c>
      <c r="E14" s="1">
        <v>1470</v>
      </c>
      <c r="F14" s="1">
        <v>1512</v>
      </c>
      <c r="G14" s="1">
        <v>1386</v>
      </c>
    </row>
    <row r="15" spans="1:7" x14ac:dyDescent="0.2">
      <c r="A15" t="s">
        <v>31</v>
      </c>
      <c r="C15" s="1">
        <v>4235.75</v>
      </c>
      <c r="D15" s="1">
        <v>4358</v>
      </c>
      <c r="E15" s="1">
        <v>4199</v>
      </c>
      <c r="F15" s="1">
        <v>4410.2</v>
      </c>
      <c r="G15" s="1">
        <v>4284.6499999999996</v>
      </c>
    </row>
    <row r="16" spans="1:7" x14ac:dyDescent="0.2">
      <c r="A16" t="s">
        <v>24</v>
      </c>
      <c r="B16" t="s">
        <v>32</v>
      </c>
      <c r="C16" s="1">
        <v>1220</v>
      </c>
      <c r="D16" s="1">
        <v>1265.75</v>
      </c>
      <c r="E16" s="1">
        <v>1220</v>
      </c>
      <c r="F16" s="1">
        <v>1448.75</v>
      </c>
      <c r="G16" s="1">
        <v>1311.5</v>
      </c>
    </row>
    <row r="17" spans="1:7" x14ac:dyDescent="0.2">
      <c r="B17" t="s">
        <v>33</v>
      </c>
      <c r="C17" s="1">
        <v>1558.45</v>
      </c>
      <c r="D17" s="1">
        <v>1558.45</v>
      </c>
      <c r="E17" s="1">
        <v>1604.95</v>
      </c>
      <c r="F17" s="1">
        <v>1651.45</v>
      </c>
      <c r="G17" s="1">
        <v>1674.7</v>
      </c>
    </row>
    <row r="18" spans="1:7" x14ac:dyDescent="0.2">
      <c r="A18" t="s">
        <v>34</v>
      </c>
      <c r="C18" s="1">
        <v>2778.45</v>
      </c>
      <c r="D18" s="1">
        <v>2824.2</v>
      </c>
      <c r="E18" s="1">
        <v>2824.95</v>
      </c>
      <c r="F18" s="1">
        <v>3100.2</v>
      </c>
      <c r="G18" s="1">
        <v>2986.2</v>
      </c>
    </row>
    <row r="19" spans="1:7" x14ac:dyDescent="0.2">
      <c r="A19" t="s">
        <v>26</v>
      </c>
      <c r="C19" s="1">
        <v>26379.465</v>
      </c>
      <c r="D19" s="1">
        <v>25169.705000000002</v>
      </c>
      <c r="E19" s="1">
        <v>26218.7</v>
      </c>
      <c r="F19" s="1">
        <v>25882.265000000003</v>
      </c>
      <c r="G19" s="1">
        <v>25589.870000000003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99907-ADC4-4D97-9C53-4154FF73EE38}">
  <dimension ref="A1:F8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6.5" bestFit="1" customWidth="1"/>
    <col min="2" max="3" width="25.1640625" bestFit="1" customWidth="1"/>
    <col min="4" max="7" width="26.33203125" bestFit="1" customWidth="1"/>
  </cols>
  <sheetData>
    <row r="1" spans="1:6" x14ac:dyDescent="0.2">
      <c r="A1" s="23" t="s">
        <v>7</v>
      </c>
      <c r="B1" s="23"/>
      <c r="C1" s="23"/>
      <c r="D1" s="23"/>
      <c r="E1" s="23"/>
      <c r="F1" s="23"/>
    </row>
    <row r="2" spans="1:6" x14ac:dyDescent="0.2">
      <c r="A2" s="21" t="s">
        <v>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2">
      <c r="A3" t="s">
        <v>15</v>
      </c>
      <c r="B3" s="1">
        <v>7225.0900000000011</v>
      </c>
      <c r="C3" s="1">
        <v>6757.7849999999999</v>
      </c>
      <c r="D3" s="1">
        <v>7287.3449999999993</v>
      </c>
      <c r="E3" s="1">
        <v>6820.2150000000001</v>
      </c>
      <c r="F3" s="1">
        <v>6899.7900000000009</v>
      </c>
    </row>
    <row r="4" spans="1:6" x14ac:dyDescent="0.2">
      <c r="A4" t="s">
        <v>18</v>
      </c>
      <c r="B4" s="1">
        <v>7210.1749999999993</v>
      </c>
      <c r="C4" s="1">
        <v>6909.72</v>
      </c>
      <c r="D4" s="1">
        <v>7201.9050000000007</v>
      </c>
      <c r="E4" s="1">
        <v>7146.15</v>
      </c>
      <c r="F4" s="1">
        <v>7074.23</v>
      </c>
    </row>
    <row r="5" spans="1:6" x14ac:dyDescent="0.2">
      <c r="A5" t="s">
        <v>20</v>
      </c>
      <c r="B5" s="1">
        <v>4930</v>
      </c>
      <c r="C5" s="1">
        <v>4320</v>
      </c>
      <c r="D5" s="1">
        <v>4705.5</v>
      </c>
      <c r="E5" s="1">
        <v>4405.5</v>
      </c>
      <c r="F5" s="1">
        <v>4345</v>
      </c>
    </row>
    <row r="6" spans="1:6" x14ac:dyDescent="0.2">
      <c r="A6" t="s">
        <v>22</v>
      </c>
      <c r="B6" s="1">
        <v>4235.75</v>
      </c>
      <c r="C6" s="1">
        <v>4358</v>
      </c>
      <c r="D6" s="1">
        <v>4199</v>
      </c>
      <c r="E6" s="1">
        <v>4410.2</v>
      </c>
      <c r="F6" s="1">
        <v>4284.6499999999996</v>
      </c>
    </row>
    <row r="7" spans="1:6" x14ac:dyDescent="0.2">
      <c r="A7" t="s">
        <v>24</v>
      </c>
      <c r="B7" s="1">
        <v>2778.45</v>
      </c>
      <c r="C7" s="1">
        <v>2824.2</v>
      </c>
      <c r="D7" s="1">
        <v>2824.95</v>
      </c>
      <c r="E7" s="1">
        <v>3100.2</v>
      </c>
      <c r="F7" s="1">
        <v>2986.2</v>
      </c>
    </row>
    <row r="8" spans="1:6" x14ac:dyDescent="0.2">
      <c r="A8" t="s">
        <v>26</v>
      </c>
      <c r="B8" s="1">
        <v>26379.465</v>
      </c>
      <c r="C8" s="1">
        <v>25169.705000000002</v>
      </c>
      <c r="D8" s="1">
        <v>26218.7</v>
      </c>
      <c r="E8" s="1">
        <v>25882.264999999999</v>
      </c>
      <c r="F8" s="1">
        <v>25589.87</v>
      </c>
    </row>
  </sheetData>
  <mergeCells count="1">
    <mergeCell ref="A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4ce3d6-a4bf-4e09-8516-d52840c9f7a9}" enabled="0" method="" siteId="{704ce3d6-a4bf-4e09-8516-d52840c9f7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Payroll Combined</vt:lpstr>
      <vt:lpstr>Payroll</vt:lpstr>
      <vt:lpstr>Employees</vt:lpstr>
      <vt:lpstr>Combined</vt:lpstr>
      <vt:lpstr>Jan Payroll</vt:lpstr>
      <vt:lpstr>Payroll By Position</vt:lpstr>
      <vt:lpstr>Payroll By Department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Moore</cp:lastModifiedBy>
  <cp:revision/>
  <dcterms:created xsi:type="dcterms:W3CDTF">2025-10-22T20:33:25Z</dcterms:created>
  <dcterms:modified xsi:type="dcterms:W3CDTF">2025-10-22T21:39:37Z</dcterms:modified>
  <cp:category/>
  <cp:contentStatus/>
</cp:coreProperties>
</file>